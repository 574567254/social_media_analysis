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workbookPr codeName="ThisWorkbook" defaultThemeVersion="124226"/>
  <mc:AlternateContent xmlns:mc="http://schemas.openxmlformats.org/markup-compatibility/2006">
    <mc:Choice Requires="x15">
      <x15ac:absPath xmlns:x15ac="http://schemas.microsoft.com/office/spreadsheetml/2010/11/ac" url="C:\Users\Admin\Desktop\MMA2021\2022 winter\INSY670\"/>
    </mc:Choice>
  </mc:AlternateContent>
  <xr:revisionPtr revIDLastSave="0" documentId="8_{5234FB5B-5C03-4C2D-9F1B-0C119EB6C6F5}" xr6:coauthVersionLast="47" xr6:coauthVersionMax="47" xr10:uidLastSave="{00000000-0000-0000-0000-000000000000}"/>
  <bookViews>
    <workbookView xWindow="-98" yWindow="-98" windowWidth="22695" windowHeight="14476" firstSheet="1" activeTab="1" xr2:uid="{00000000-000D-0000-FFFF-FFFF00000000}"/>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 name="Twitter Search Ntwrk Top Items" sheetId="8" r:id="rId8"/>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B3" i="3" l="1"/>
  <c r="AB4" i="3"/>
  <c r="AB5" i="3"/>
  <c r="AB6" i="3"/>
  <c r="AB7" i="3"/>
  <c r="AB8" i="3"/>
  <c r="AB9" i="3"/>
  <c r="AB10" i="3"/>
  <c r="AB11" i="3"/>
  <c r="AB12" i="3"/>
  <c r="AB13" i="3"/>
  <c r="AB14" i="3"/>
  <c r="AB15"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B128" i="7"/>
  <c r="B127" i="7"/>
  <c r="B130" i="7"/>
  <c r="B129" i="7"/>
  <c r="P45" i="7"/>
  <c r="Q45" i="7" s="1"/>
  <c r="P2" i="7"/>
  <c r="B141" i="7"/>
  <c r="B144" i="7"/>
  <c r="B143" i="7"/>
  <c r="R45" i="7"/>
  <c r="S45" i="7" s="1"/>
  <c r="R2" i="7"/>
  <c r="B114" i="7"/>
  <c r="B116" i="7"/>
  <c r="B115" i="7"/>
  <c r="N45" i="7"/>
  <c r="O45" i="7" s="1"/>
  <c r="N2" i="7"/>
  <c r="B113" i="7" s="1"/>
  <c r="B99" i="7"/>
  <c r="B86" i="7"/>
  <c r="B102" i="7"/>
  <c r="B101" i="7"/>
  <c r="L45" i="7"/>
  <c r="M45" i="7" s="1"/>
  <c r="L2" i="7"/>
  <c r="B72" i="7"/>
  <c r="B71" i="7"/>
  <c r="B58" i="7"/>
  <c r="B57" i="7"/>
  <c r="B88" i="7"/>
  <c r="B87" i="7"/>
  <c r="J45" i="7"/>
  <c r="K45" i="7" s="1"/>
  <c r="J2" i="7"/>
  <c r="B85" i="7" s="1"/>
  <c r="B74" i="7"/>
  <c r="B73" i="7"/>
  <c r="H45" i="7"/>
  <c r="I45" i="7" s="1"/>
  <c r="H2" i="7"/>
  <c r="B60" i="7"/>
  <c r="B59" i="7"/>
  <c r="F45" i="7"/>
  <c r="G45" i="7" s="1"/>
  <c r="F2" i="7"/>
  <c r="B46" i="7"/>
  <c r="B45" i="7"/>
  <c r="T45" i="7"/>
  <c r="T2" i="7"/>
  <c r="B100" i="7" l="1"/>
  <c r="B142" i="7"/>
  <c r="X2" i="7"/>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D2" i="7"/>
  <c r="B43" i="7" s="1"/>
  <c r="U45" i="7"/>
  <c r="E45" i="7" l="1"/>
  <c r="B44" i="7"/>
  <c r="Q3" i="7"/>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TonyAdmin</author>
    <author>Tony</author>
    <author>Tony C.</author>
  </authors>
  <commentList>
    <comment ref="A2" authorId="0" shapeId="0" xr:uid="{00000000-0006-0000-0000-00000100000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xr:uid="{00000000-0006-0000-0000-00000200000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xr:uid="{00000000-0006-0000-0000-00000300000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xr:uid="{00000000-0006-0000-0000-00000400000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xr:uid="{00000000-0006-0000-0000-000005000000}">
      <text>
        <r>
          <rPr>
            <b/>
            <sz val="8"/>
            <color indexed="81"/>
            <rFont val="Tahoma"/>
            <family val="2"/>
          </rPr>
          <t>Edge Style</t>
        </r>
        <r>
          <rPr>
            <b/>
            <sz val="9"/>
            <color indexed="81"/>
            <rFont val="Tahoma"/>
            <family val="2"/>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xr:uid="{00000000-0006-0000-0000-00000600000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xr:uid="{00000000-0006-0000-0000-00000700000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xr:uid="{00000000-0006-0000-0000-00000800000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xr:uid="{00000000-0006-0000-0000-00000900000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xr:uid="{00000000-0006-0000-0000-00000A00000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xr:uid="{00000000-0006-0000-0000-00000B00000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L2" authorId="0" shapeId="0" xr:uid="{00000000-0006-0000-0000-00000C00000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xr:uid="{00000000-0006-0000-0000-00000D00000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TonyAdmin</author>
    <author>Tony C.</author>
    <author>Tony</author>
  </authors>
  <commentList>
    <comment ref="A2" authorId="0" shapeId="0" xr:uid="{00000000-0006-0000-0100-00000100000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xr:uid="{00000000-0006-0000-0100-00000200000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xr:uid="{00000000-0006-0000-0100-00000300000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xr:uid="{00000000-0006-0000-0100-00000400000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xr:uid="{00000000-0006-0000-0100-00000500000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xr:uid="{00000000-0006-0000-0100-00000600000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xr:uid="{00000000-0006-0000-0100-00000700000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xr:uid="{00000000-0006-0000-0100-00000800000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xr:uid="{00000000-0006-0000-0100-00000900000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xr:uid="{00000000-0006-0000-0100-00000A00000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xr:uid="{00000000-0006-0000-0100-00000B00000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xr:uid="{00000000-0006-0000-0100-00000C00000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xr:uid="{00000000-0006-0000-0100-00000D00000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xr:uid="{00000000-0006-0000-0100-00000E00000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xr:uid="{00000000-0006-0000-0100-00000F00000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xr:uid="{00000000-0006-0000-0100-00001000000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xr:uid="{00000000-0006-0000-0100-00001100000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xr:uid="{00000000-0006-0000-0100-00001200000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xr:uid="{00000000-0006-0000-0100-00001300000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xr:uid="{00000000-0006-0000-0100-00001400000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xr:uid="{00000000-0006-0000-0100-00001500000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xr:uid="{00000000-0006-0000-0100-00001600000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xr:uid="{00000000-0006-0000-0100-00001700000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xr:uid="{00000000-0006-0000-0100-00001800000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xr:uid="{00000000-0006-0000-0100-00001900000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xr:uid="{00000000-0006-0000-0100-00001A00000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xr:uid="{00000000-0006-0000-0100-00001B00000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xr:uid="{00000000-0006-0000-0100-00001C00000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TonyAdmin</author>
    <author>Tony</author>
  </authors>
  <commentList>
    <comment ref="A2" authorId="0" shapeId="0" xr:uid="{00000000-0006-0000-0300-00000100000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xr:uid="{00000000-0006-0000-0300-00000200000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xr:uid="{00000000-0006-0000-0300-00000300000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xr:uid="{00000000-0006-0000-0300-00000400000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xr:uid="{00000000-0006-0000-0300-00000500000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xr:uid="{00000000-0006-0000-0300-00000600000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family val="2"/>
          </rPr>
          <t xml:space="preserve">
</t>
        </r>
      </text>
    </comment>
    <comment ref="G2" authorId="1" shapeId="0" xr:uid="{00000000-0006-0000-0300-00000700000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xr:uid="{00000000-0006-0000-0300-00000800000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xr:uid="{00000000-0006-0000-0300-00000900000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L2" authorId="1" shapeId="0" xr:uid="{00000000-0006-0000-0300-00000A00000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xr:uid="{00000000-0006-0000-0300-00000B00000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xr:uid="{00000000-0006-0000-0300-00000C00000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xr:uid="{00000000-0006-0000-0300-00000D00000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xr:uid="{00000000-0006-0000-0300-00000E00000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xr:uid="{00000000-0006-0000-0300-00000F00000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xr:uid="{00000000-0006-0000-0300-00001000000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xr:uid="{00000000-0006-0000-0300-00001100000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xr:uid="{00000000-0006-0000-0300-00001200000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xr:uid="{00000000-0006-0000-0300-00001300000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xr:uid="{00000000-0006-0000-0300-00001400000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xr:uid="{00000000-0006-0000-0300-00001500000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xr:uid="{00000000-0006-0000-0300-00001600000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TonyAdmin</author>
    <author>Tony</author>
  </authors>
  <commentList>
    <comment ref="A1" authorId="0" shapeId="0" xr:uid="{00000000-0006-0000-0400-00000100000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xr:uid="{00000000-0006-0000-0400-00000200000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xr:uid="{00000000-0006-0000-0400-00000300000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family val="2"/>
          </rPr>
          <t xml:space="preserve">
</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TonyAdmin</author>
  </authors>
  <commentList>
    <comment ref="A1" authorId="0" shapeId="0" xr:uid="{00000000-0006-0000-0500-00000100000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<sst xmlns="http://schemas.openxmlformats.org/spreadsheetml/2006/main" count="872" uniqueCount="310">
  <si>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</si>
  <si>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</si>
  <si>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</si>
  <si>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</si>
  <si>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</si>
  <si>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</si>
  <si>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</si>
  <si>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</si>
  <si>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</si>
  <si>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</si>
  <si>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</si>
  <si>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</si>
  <si>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</si>
  <si>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</si>
  <si>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</si>
  <si>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</si>
  <si>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</si>
  <si>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</si>
  <si>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</si>
  <si>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</si>
  <si>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</si>
  <si>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</si>
  <si>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</si>
  <si>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</si>
  <si>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</si>
  <si>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</si>
  <si>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</si>
  <si>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</si>
  <si>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</si>
  <si>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</si>
  <si>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</si>
  <si>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</si>
  <si>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</si>
  <si>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</si>
  <si>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</si>
  <si>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</si>
  <si>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</si>
  <si>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</si>
  <si>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</si>
  <si>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</si>
  <si>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</si>
  <si>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</si>
  <si>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</si>
  <si>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</si>
  <si>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</si>
  <si>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</si>
  <si>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</si>
  <si>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</si>
  <si>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</si>
  <si>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</si>
  <si>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</si>
  <si>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</si>
  <si>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</si>
  <si>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</si>
  <si>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</si>
  <si>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</si>
  <si>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</si>
  <si>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</si>
  <si>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</si>
  <si>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</si>
  <si>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</si>
  <si>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</si>
  <si>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</si>
  <si>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</si>
  <si>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</si>
  <si>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</si>
  <si>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</si>
  <si>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</si>
  <si>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</si>
  <si>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</si>
  <si>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</si>
  <si>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</si>
  <si>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</si>
  <si>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</si>
  <si>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</si>
  <si>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</si>
  <si>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</si>
  <si>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</si>
  <si>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</si>
  <si>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</si>
  <si>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</si>
  <si>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</si>
  <si>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</si>
  <si>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</si>
  <si>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</si>
  <si>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</si>
  <si>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</si>
  <si>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</si>
  <si>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</si>
  <si>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</si>
  <si>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</si>
  <si>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</si>
  <si>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</si>
  <si>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</si>
  <si>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</si>
  <si>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</si>
  <si>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</si>
  <si>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</si>
  <si>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</si>
  <si>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</si>
  <si>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</si>
  <si>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</si>
  <si>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</si>
  <si>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</si>
  <si>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</si>
  <si>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</si>
  <si>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</si>
  <si>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</si>
  <si>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</si>
  <si>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</si>
  <si>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</si>
  <si>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</si>
  <si>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</si>
  <si>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</si>
  <si>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</si>
  <si>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</si>
  <si>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</si>
  <si>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</si>
  <si>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</si>
  <si>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</si>
  <si>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</si>
  <si>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</si>
  <si>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</si>
  <si>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</si>
  <si>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</si>
  <si>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</si>
  <si>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</si>
  <si>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</si>
  <si>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</si>
  <si>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</si>
  <si>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</si>
  <si>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</si>
  <si>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</si>
  <si>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</si>
  <si>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</si>
  <si>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</si>
  <si>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</si>
  <si>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</si>
  <si>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</si>
  <si>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</si>
  <si>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</si>
  <si>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</si>
  <si>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</si>
  <si>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</si>
  <si>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</si>
  <si>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</si>
  <si>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</si>
  <si>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</si>
  <si>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</si>
  <si>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</si>
  <si>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</si>
  <si>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</si>
  <si>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</si>
  <si>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</si>
  <si>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</si>
  <si>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</si>
  <si>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</si>
  <si>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</si>
  <si>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</si>
  <si>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</si>
  <si>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</si>
  <si>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</si>
  <si>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</si>
  <si>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</si>
  <si>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</si>
  <si>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</si>
  <si>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</si>
  <si>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</si>
  <si>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</si>
  <si>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</si>
  <si>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</si>
  <si>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</si>
  <si>
    <t>Workbook Settings 1</t>
  </si>
  <si>
    <t>Workbook Settings Cell Count</t>
  </si>
  <si>
    <t>Autofill Workbook Results</t>
  </si>
  <si>
    <t>Graph History</t>
  </si>
  <si>
    <t>elonmusk</t>
  </si>
  <si>
    <t>GailAlfarATX</t>
  </si>
  <si>
    <t>SawyerMerritt</t>
  </si>
  <si>
    <t>teslaownersSV</t>
  </si>
  <si>
    <t>WholeMarsBlog</t>
  </si>
  <si>
    <t>TheSmokingTire</t>
  </si>
  <si>
    <t>Kristennetten</t>
  </si>
  <si>
    <t>JohnnaCrider1</t>
  </si>
  <si>
    <t>MattWallace888</t>
  </si>
  <si>
    <t>EvaFoxU</t>
  </si>
  <si>
    <t>ray4tesla</t>
  </si>
  <si>
    <t>Teslarati</t>
  </si>
  <si>
    <t>PunishedGoon</t>
  </si>
  <si>
    <t>SteveWh38825469</t>
  </si>
  <si>
    <t>NingAustin</t>
  </si>
  <si>
    <t>mysticl</t>
  </si>
  <si>
    <t>TacosandTeslas</t>
  </si>
  <si>
    <t>otacon122</t>
  </si>
  <si>
    <t>TeslaLisa</t>
  </si>
  <si>
    <t>Richard48371898</t>
  </si>
  <si>
    <t>orthereaboot</t>
  </si>
  <si>
    <t>ParodyMusk</t>
  </si>
  <si>
    <t>rockstarmind</t>
  </si>
  <si>
    <t>advo_CATE21</t>
  </si>
  <si>
    <t>dunbar422</t>
  </si>
  <si>
    <t>EmmetPeppers</t>
  </si>
  <si>
    <t>AldoFlo63517786</t>
  </si>
  <si>
    <t>ChristopherCPX</t>
  </si>
  <si>
    <t>solomg</t>
  </si>
  <si>
    <t>DJChefB1</t>
  </si>
  <si>
    <t>MediumFidelity</t>
  </si>
  <si>
    <t>jmarino_91</t>
  </si>
  <si>
    <t>horvatkz</t>
  </si>
  <si>
    <t>GJagaban</t>
  </si>
  <si>
    <t>devilred1376</t>
  </si>
  <si>
    <t>John_Smith_012</t>
  </si>
  <si>
    <t>BitcoinToSaveUs</t>
  </si>
  <si>
    <t>IingeLapp</t>
  </si>
  <si>
    <t>Doanztr16837155</t>
  </si>
  <si>
    <t>The_Blck_Swan</t>
  </si>
  <si>
    <t>dezmondOliver</t>
  </si>
  <si>
    <t>SteveTamNJ</t>
  </si>
  <si>
    <t>steveMmattison</t>
  </si>
  <si>
    <t>CABO_BABY</t>
  </si>
  <si>
    <t>CATERIN04743813</t>
  </si>
  <si>
    <t>SMWearMask</t>
  </si>
  <si>
    <t>KerryTruitt13</t>
  </si>
  <si>
    <t>noahsturis</t>
  </si>
  <si>
    <t>Wallstreethack3</t>
  </si>
  <si>
    <t>Joscocok</t>
  </si>
  <si>
    <t>TeslaTejas</t>
  </si>
  <si>
    <t>TONE13817103</t>
  </si>
  <si>
    <t>Green_Fret</t>
  </si>
  <si>
    <t>mrstego1</t>
  </si>
  <si>
    <t>Space_Dog_Phill</t>
  </si>
  <si>
    <t>Trotter87528503</t>
  </si>
  <si>
    <t>dictionaryhill</t>
  </si>
  <si>
    <t>SteveWh38825470</t>
  </si>
  <si>
    <t>SteveWh38825471</t>
  </si>
  <si>
    <t>SteveWh38825472</t>
  </si>
  <si>
    <t>SteveWh38825473</t>
  </si>
  <si>
    <t>SteveWh38825474</t>
  </si>
  <si>
    <t>SteveWh38825475</t>
  </si>
  <si>
    <t>red</t>
  </si>
  <si>
    <t>Graph Type</t>
  </si>
  <si>
    <t>Modularity</t>
  </si>
  <si>
    <t>NodeXL Version</t>
  </si>
  <si>
    <t>Not Applicable</t>
  </si>
  <si>
    <t>1.0.1.448</t>
  </si>
  <si>
    <t>Top URLs in Tweet in Entire Graph</t>
  </si>
  <si>
    <t>Entire Graph Count</t>
  </si>
  <si>
    <t>Top URLs in Tweet</t>
  </si>
  <si>
    <t>Top Domains in Tweet in Entire Graph</t>
  </si>
  <si>
    <t>Top Domains in Tweet</t>
  </si>
  <si>
    <t>Top Hashtags in Tweet in Entire Graph</t>
  </si>
  <si>
    <t>Top Hashtags in Tweet</t>
  </si>
  <si>
    <t>Top Words in Tweet in Entire Graph</t>
  </si>
  <si>
    <t>Words in Sentiment List#1: Positive</t>
  </si>
  <si>
    <t>Words in Sentiment List#2: Negative</t>
  </si>
  <si>
    <t>Words in Sentiment List#3: (Add your own word list)</t>
  </si>
  <si>
    <t>Non-categorized Words</t>
  </si>
  <si>
    <t>Total Words</t>
  </si>
  <si>
    <t>Top Words in Tweet</t>
  </si>
  <si>
    <t>Top Word Pairs in Tweet in Entire Graph</t>
  </si>
  <si>
    <t>Top Word Pairs in Tweet</t>
  </si>
  <si>
    <t>Top Replied-To in Entire Graph</t>
  </si>
  <si>
    <t>Top Mentioned in Entire Graph</t>
  </si>
  <si>
    <t>Top Replied-To in Tweet</t>
  </si>
  <si>
    <t>Top Mentioned in Tweet</t>
  </si>
  <si>
    <t>Top Tweeters in Entire Graph</t>
  </si>
  <si>
    <t>Top Tweeters</t>
  </si>
  <si>
    <t>Top URLs in Tweet by Count</t>
  </si>
  <si>
    <t>Top URLs in Tweet by Salience</t>
  </si>
  <si>
    <t>Top Domains in Tweet by Count</t>
  </si>
  <si>
    <t>Top Domains in Tweet by Salience</t>
  </si>
  <si>
    <t>Top Hashtags in Tweet by Count</t>
  </si>
  <si>
    <t>Top Hashtags in Tweet by Salience</t>
  </si>
  <si>
    <t>Top Words in Tweet by Count</t>
  </si>
  <si>
    <t/>
  </si>
  <si>
    <t>Top Words in Tweet by Salience</t>
  </si>
  <si>
    <t>Top Word Pairs in Tweet by Count</t>
  </si>
  <si>
    <t>Top Word Pairs in Tweet by Salience</t>
  </si>
  <si>
    <t>241, 137, 4</t>
  </si>
  <si>
    <t>236, 134, 9</t>
  </si>
  <si>
    <t>226, 127, 19</t>
  </si>
  <si>
    <t>46, 7, 195</t>
  </si>
  <si>
    <t>196, 107, 48</t>
  </si>
  <si>
    <t>206, 114, 38</t>
  </si>
  <si>
    <t>151, 77, 93</t>
  </si>
  <si>
    <t>216, 121, 29</t>
  </si>
  <si>
    <t>▓0▓0▓0▓True▓Black▓Black▓▓▓0▓0▓0▓0▓0▓False▓▓0▓0▓0▓0▓0▓False▓Degree▓1▓23▓0▓True▓241, 137, 4▓46, 7, 195▓▓Betweenness Centrality▓0▓710.833333▓3▓1.5▓7▓False▓▓0▓0▓0▓0▓0▓False▓▓0▓0▓0▓0▓0▓False▓▓0▓0▓0▓0▓0▓False</t>
  </si>
  <si>
    <t>Workbook Settings 2</t>
  </si>
  <si>
    <t>G1</t>
  </si>
  <si>
    <t>G2</t>
  </si>
  <si>
    <t>G3</t>
  </si>
  <si>
    <t>G4</t>
  </si>
  <si>
    <t>G5</t>
  </si>
  <si>
    <t>G6</t>
  </si>
  <si>
    <t>G7</t>
  </si>
  <si>
    <t>G8</t>
  </si>
  <si>
    <t>G9</t>
  </si>
  <si>
    <t>0, 12, 96</t>
  </si>
  <si>
    <t>0, 136, 227</t>
  </si>
  <si>
    <t>0, 100, 50</t>
  </si>
  <si>
    <t>0, 176, 22</t>
  </si>
  <si>
    <t>191, 0, 0</t>
  </si>
  <si>
    <t>230, 120, 0</t>
  </si>
  <si>
    <t>255, 191, 0</t>
  </si>
  <si>
    <t>150, 200, 0</t>
  </si>
  <si>
    <t>200, 0, 120</t>
  </si>
  <si>
    <t>LayoutAlgorithm░The graph was laid out using the Fruchterman-Reingold layout algorithm.▓GraphDirectedness░The graph is undirected.▓GroupingDescription░The graph's vertices were grouped by cluster using the Clauset-Newman-Moore cluster algorithm.</t>
  </si>
  <si>
    <t>Vertices[Y]</t>
  </si>
  <si>
    <t>&lt;?xml version="1.0" encoding="utf-8"?&gt;_x000D_
&lt;configuration&gt;_x000D_
  &lt;configSections&gt;_x000D_
    &lt;sectionGroup name="userSettings" type="System.Configuration.UserSettingsGroup, System, Version=2.0.0.0, Culture=neutral, PublicKeyToken=b77a5c561934e089"&gt;_x000D_
      &lt;section name="GraphZoomAndScaleUserSettings" type="System.Configuration.ClientSettingsSection, System, Version=2.0.0.0, Culture=neutral, PublicKeyToken=b77a5c561934e089" allowExeDefinition="MachineToLocalUser" requirePermission="false" /&gt;_x000D_
      &lt;section name="DynamicFiltersUserSettings" type="System.Configuration.ClientSettingsSection, System, Version=2.0.0.0, Culture=neutral, PublicKeyToken=b77a5c561934e089" allowExeDefinition="MachineToLocalUser" requirePermission="false" /&gt;_x000D_
      &lt;section name="GroupUserSettings" type="System.Configuration.ClientSettingsSection, System, Version=2.0.0.0, Culture=neutral, PublicKeyToken=b77a5c561934e089" allowExeDefinition="MachineToLocalUser" requirePermission="false" /&gt;_x000D_
      &lt;section name="ClusterUserSettings" type="System.Configuration.ClientSettingsSection, System, Version=2.0.0.0, Culture=neutral, PublicKeyToken=b77a5c561934e089" allowExeDefinition="MachineToLocalUser" requirePermission="false" /&gt;_x000D_
      &lt;section name="AutoFillUserSettings3" type="System.Configuration.ClientSettingsSection, System, Version=2.0.0.0, Culture=neutral, PublicKeyToken=b77a5c561934e089" allowExeDefinition="MachineToLocalUser" requirePermission="false" /&gt;_x000D_
      &lt;section name="ColumnGroupUserSettings" type="System.Configuration.ClientSettingsSection, System, Version=2.0.0.0, Culture=neutral, PublicKeyToken=b77a5c561934e089" allowExeDefinition="MachineToLocalUser" requirePermission="false" /&gt;_x000D_
      &lt;section name="GraphMetricUserSettings" type="System.Configuration.ClientSettingsSection, System, Version=2.0.0.0, Culture=neutral, PublicKeyToken=b77a5c561934e089" allowExeDefinition="MachineToLocalUser" requirePermission="false" /&gt;_x000D_
      &lt;section name="GeneralUserSettings4" type="System.Configuration.ClientSettingsSection, System, Version=2.0.0.0, Culture=neutral, PublicKeyToken=b77a5c561934e089" allowExeDefinition="MachineToLocalUser" requirePermission="false" /&gt;_x000D_
    &lt;/sectionGroup&gt;_x000D_
  &lt;/configSections&gt;_x000D_
  &lt;userSettings&gt;_x000D_
    &lt;GraphZoomAndScaleUserSettings&gt;_x000D_
      &lt;setting name="GraphScale" serializeAs="String"&gt;_x000D_
        &lt;value&gt;1&lt;/value&gt;_x000D_
      &lt;/setting&gt;_x000D_
    &lt;/GraphZoomAndScaleUserSettings&gt;_x000D_
    &lt;DynamicFiltersUserSettings&gt;_x000D_
      &lt;setting name="FilterNonNumericCells" serializeAs="String"&gt;_x000D_
        &lt;value&gt;False&lt;/value&gt;_x000D_
      &lt;/setting&gt;_x000D_
      &lt;setting name="FilteredAlpha" serializeAs="String"&gt;_x000D_
        &lt;value&gt;0&lt;/value&gt;_x000D_
      &lt;/setting&gt;_x000D_
    &lt;/DynamicFiltersUserSettings&gt;_x000D_
    &lt;GroupUserSettings&gt;_x000D_
      &lt;setting name="ReadGroups" serializeAs="String"&gt;_x000D_
        &lt;value&gt;True&lt;/value&gt;_x000D_
      &lt;/setting&gt;_x000D_
    &lt;/GroupUserSettings&gt;_x000D_
    &lt;ClusterUserSettings&gt;_x000D_
      &lt;setting name="ClusterAlgorithm" serializeAs="String"&gt;_x000D_
        &lt;value&gt;ClausetNewmanMoore&lt;/value&gt;_x000D_
      &lt;/setting&gt;_x000D_
      &lt;setting name="PutNeighborlessVerticesInOneCluster" serializeAs="String"&gt;_x000D_
        &lt;value&gt;False&lt;/value&gt;_x000D_
      &lt;/setting&gt;_x000D_
    &lt;/ClusterUserSettings&gt;_x000D_
    &lt;AutoFillUserSettings3&gt;_x000D_
      &lt;setting name="EdgeLabelSourceColumnName" serializeAs="String"&gt;_x000D_
        &lt;value /&gt;_x000D_
      &lt;/setting&gt;_x000D_
      &lt;setting name="VertexLabelPositionDetails" serializeAs="String"&gt;_x000D_
        &lt;value&gt;GreaterThan	0	Bottom Center	Nowhere&lt;/value&gt;_x000D_
      &lt;/setting&gt;_x000D_
      &lt;setting name="VertexYDetails" serializeAs="String"&gt;_x000D_
        &lt;value&gt;False	False	0	0	0	9999	False	False&lt;/value&gt;_x000D_
      &lt;/setting&gt;_x000D_
      &lt;setting name="GroupCollapsedSourceColumnName" serializeAs="String"&gt;_x000D_
        &lt;value /&gt;_x000D_
      &lt;/setting&gt;_x000D_
      &lt;setting name="EdgeWidthSourceColumnName" serializeAs="String"&gt;_x000D_
        &lt;value /&gt;_x000D_
      &lt;/setting&gt;_x000D_
      &lt;setting name="VertexColorSourceColumnName" serializeAs="String"&gt;_x000D_
        &lt;value&gt;Degree&lt;/value&gt;_x000D_
      &lt;/setting&gt;_x000D_
      &lt;setting name="VertexRadiusSourceColumnName" serializeAs="String"&gt;_x000D_
        &lt;value&gt;Betweenness Centrality&lt;/value&gt;_x000D_
      &lt;/setting&gt;_x000D_
      &lt;setting name="VertexRadiusDetails" serializeAs="String"&gt;_x000D_
        &lt;value&gt;False	False	0	0	1.5	7	False	False&lt;/value&gt;_x000D_
      &lt;/setting&gt;_x000D_
      &lt;setting name="GroupCollapsedDetails" serializeAs="String"&gt;_x000D_
        &lt;value&gt;GreaterThan	0	Yes	No&lt;/value&gt;_x000D_
      &lt;/setting&gt;_x000D_
      &lt;setting name="VertexXDetails" serializeAs="String"&gt;_x000D_
        &lt;value&gt;False	False	0	0	0	9999	False	False&lt;/value&gt;_x000D_
      &lt;/setting&gt;_x000D_
      &lt;setting name="VertexPolarAngleDetails" serializeAs="String"&gt;_x000D_
        &lt;value&gt;False	False	0	0	0	359	False	False&lt;/value&gt;_x000D_
      &lt;/setting&gt;_x000D_
      &lt;setting name="VertexPolarRSourceColumnName" serializeAs="String"&gt;_x000D_
        &lt;value /&gt;_x000D_
      &lt;/setting&gt;_x000D_
      &lt;setting name="VertexLayoutOrderDetails" serializeAs="String"&gt;_x000D_
        &lt;value&gt;False	False	0	0	1	9999	False	False&lt;/value&gt;_x000D_
      &lt;/setting&gt;_x000D_
      &lt;setting name="EdgeStyleDetails" serializeAs="String"&gt;_x000D_
        &lt;value&gt;GreaterThan	0	Solid	Dash&lt;/value&gt;_x000D_
      &lt;/setting&gt;_x000D_
      &lt;setting name="VertexShapeSourceColumnName" serializeAs="String"&gt;_x000D_
        &lt;value /&gt;_x000D_
      &lt;/setting&gt;_x000D_
      &lt;setting name="VertexAlphaSourceColumnName" serializeAs="String"&gt;_x000D_
        &lt;value /&gt;_x000D_
      &lt;/setting&gt;_x000D_
      &lt;setting name="VertexLayoutOrderSourceColumnName" serializeAs="String"&gt;_x000D_
        &lt;value /&gt;_x000D_
      &lt;/setting&gt;_x000D_
      &lt;setting name="EdgeVisibilityDetails" serializeAs="String"&gt;_x000D_
        &lt;value&gt;GreaterThan	0	Show	Skip&lt;/value&gt;_x000D_
      &lt;/setting&gt;_x000D_
      &lt;setting name="VertexVisibilitySourceColumnName" serializeAs="String"&gt;_x000D_
        &lt;value /&gt;_x000D_
      &lt;/setting&gt;_x000D_
      &lt;setting name="GroupLabelSourceColumnName" serializeAs="String"&gt;_x000D_
        &lt;value /&gt;_x000D_
      &lt;/setting&gt;_x000D_
      &lt;setting name="EdgeColorSourceColumnName" serializeAs="String"&gt;_x000D_
        &lt;value /&gt;_x000D_
      &lt;/setting&gt;_x000D_
      &lt;setting name="VertexLabelSourceColumnName" serializeAs="String"&gt;_x000D_
        &lt;value /&gt;_x000D_
      &lt;/setting&gt;_x000D_
      &lt;setting name="VertexLabelFillColorSourceColumnName" serializeAs="String"&gt;_x000D_
        &lt;value /&gt;_x000D_</t>
  </si>
  <si>
    <t xml:space="preserve">
      &lt;/setting&gt;_x000D_
      &lt;setting name="VertexColorDetails" serializeAs="String"&gt;_x000D_
        &lt;value&gt;False	False	0	0	241, 137, 4	46, 7, 195	False	False	True&lt;/value&gt;_x000D_
      &lt;/setting&gt;_x000D_
      &lt;setting name="VertexPolarAngleSourceColumnName" serializeAs="String"&gt;_x000D_
        &lt;value /&gt;_x000D_
      &lt;/setting&gt;_x000D_
      &lt;setting name="VertexPolarRDetails" serializeAs="String"&gt;_x000D_
        &lt;value&gt;False	False	0	0	0	1	False	False&lt;/value&gt;_x000D_
      &lt;/setting&gt;_x000D_
      &lt;setting name="VertexToolTipSourceColumnName" serializeAs="String"&gt;_x000D_
        &lt;value /&gt;_x000D_
      &lt;/setting&gt;_x000D_
      &lt;setting name="EdgeAlphaSourceColumnName" serializeAs="String"&gt;_x000D_
        &lt;value /&gt;_x000D_
      &lt;/setting&gt;_x000D_
      &lt;setting name="VertexLabelPositionSourceColumnName" serializeAs="String"&gt;_x000D_
        &lt;value /&gt;_x000D_
      &lt;/setting&gt;_x000D_
      &lt;setting name="VertexShapeDetails" serializeAs="String"&gt;_x000D_
        &lt;value&gt;GreaterThan	0	Solid Square	Disk&lt;/value&gt;_x000D_
      &lt;/setting&gt;_x000D_
      &lt;setting name="EdgeStyleSourceColumnName" serializeAs="String"&gt;_x000D_
        &lt;value /&gt;_x000D_
      &lt;/setting&gt;_x000D_
      &lt;setting name="VertexLabelFillColorDetails" serializeAs="String"&gt;_x000D_
        &lt;value&gt;False	False	0	10	241, 137, 4	46, 7, 195	False	False	True&lt;/value&gt;_x000D_
      &lt;/setting&gt;_x000D_
      &lt;setting name="VertexYSourceColumnName" serializeAs="String"&gt;_x000D_
        &lt;value /&gt;_x000D_
      &lt;/setting&gt;_x000D_
      &lt;setting name="VertexAlphaDetails" serializeAs="String"&gt;_x000D_
        &lt;value&gt;False	False	0	100	10	100	False	False&lt;/value&gt;_x000D_
      &lt;/setting&gt;_x000D_
      &lt;setting name="EdgeVisibilitySourceColumnName" serializeAs="String"&gt;_x000D_
        &lt;value /&gt;_x000D_
      &lt;/setting&gt;_x000D_
      &lt;setting name="EdgeAlphaDetails" serializeAs="String"&gt;_x000D_
        &lt;value&gt;False	False	0	100	10	100	False	False&lt;/value&gt;_x000D_
      &lt;/setting&gt;_x000D_
      &lt;setting name="VertexVisibilityDetails" serializeAs="String"&gt;_x000D_
        &lt;value&gt;GreaterThan	0	Show if in an Edge	Skip&lt;/value&gt;_x000D_
      &lt;/setting&gt;_x000D_
      &lt;setting name="EdgeWidthDetails" serializeAs="String"&gt;_x000D_
        &lt;value&gt;False	False	1	10	1	10	False	False&lt;/value&gt;_x000D_
      &lt;/setting&gt;_x000D_
      &lt;setting name="VertexXSourceColumnName" serializeAs="String"&gt;_x000D_
        &lt;value /&gt;_x000D_
      &lt;/setting&gt;_x000D_
      &lt;setting name="EdgeColorDetails" serializeAs="String"&gt;_x000D_
        &lt;value&gt;False	False	0	10	241, 137, 4	46, 7, 195	False	False	True&lt;/value&gt;_x000D_
      &lt;/setting&gt;_x000D_
    &lt;/AutoFillUserSettings3&gt;_x000D_
    &lt;ColumnGroupUserSettings&gt;_x000D_
      &lt;setting name="ColumnGroupsToShow" serializeAs="String"&gt;_x000D_
        &lt;value&gt;EdgeDoNotHide, EdgeVisualAttributes, EdgeLabels, EdgeGraphMetrics, EdgeOtherColumns, VertexDoNotHide, VertexVisualAttributes, VertexGraphMetrics, VertexLabels, VertexOtherColumns, GroupDoNotHide, GroupVisualAttributes, GroupLabels, GroupGraphMetrics, GroupEdgeDoNotHide, GroupEdgeGraphMetrics&lt;/value&gt;_x000D_
      &lt;/setting&gt;_x000D_
    &lt;/ColumnGroupUserSettings&gt;_x000D_
    &lt;GraphMetricUserSettings&gt;_x000D_
      &lt;setting name="GraphMetricsToCalculate" serializeAs="String"&gt;_x000D_
        &lt;value&gt;InDegree, OutDegree, Degree, ClusteringCoefficient, BrandesFastCentralities, EigenvectorCentrality, PageRank, OverallMetrics, GroupMetrics, EdgeReciprocation, TopNBy, TwitterSearchNetworkTopItems, Words, ReciprocatedVertexPairRatio, EdgeCreation, TimeSeries&lt;/value&gt;_x000D_
      &lt;/setting&gt;_x000D_
    &lt;/GraphMetricUserSettings&gt;_x000D_
    &lt;GeneralUserSettings4&gt;_x000D_
      &lt;setting name="NewWorkbookGraphDirectedness" serializeAs="String"&gt;_x000D_
        &lt;value&gt;Undirected&lt;/value&gt;_x000D_
      &lt;/setting&gt;_x000D_
      &lt;setting name="ShowGraphLegend" serializeAs="String"&gt;_x000D_
        &lt;value&gt;False&lt;/value&gt;_x000D_
      &lt;/setting&gt;_x000D_
      &lt;setting name="ReadVertexLabels" serializeAs="String"&gt;_x000D_
        &lt;value&gt;True&lt;/value&gt;_x000D_
      &lt;/setting&gt;_x000D_
      &lt;setting name="ReadEdgeLabels" serializeAs="String"&gt;_x000D_
        &lt;value&gt;True&lt;/value&gt;_x000D_
      &lt;/setting&gt;_x000D_
      &lt;setting name="ReadGroupLabels" serializeAs="String"&gt;_x000D_
        &lt;value&gt;True&lt;/value&gt;_x000D_
      &lt;/setting&gt;_x000D_
      &lt;setting name="ShowGraphAxes" serializeAs="String"&gt;_x000D_
        &lt;value&gt;False&lt;/value&gt;_x000D_
      &lt;/setting&gt;_x000D_
    &lt;/GeneralUserSettings4&gt;_x000D_
  &lt;/userSettings&gt;_x000D_
&lt;/configuration&gt;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</si>
</sst>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0.0"/>
    <numFmt numFmtId="166" formatCode="#,##0.000"/>
    <numFmt numFmtId="167" formatCode="0.000"/>
  </numFmts>
  <fonts count="12"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117">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6" fillId="6" borderId="1" xfId="6"/>
    <xf numFmtId="0" fontId="10"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xf numFmtId="1" fontId="0" fillId="5" borderId="1" xfId="4" applyNumberFormat="1" applyFont="1"/>
    <xf numFmtId="0" fontId="0" fillId="2" borderId="1" xfId="1" applyNumberFormat="1" applyFont="1"/>
    <xf numFmtId="49" fontId="0" fillId="0" borderId="0" xfId="3" applyNumberFormat="1" applyFont="1" applyAlignment="1"/>
    <xf numFmtId="164" fontId="0" fillId="5" borderId="1" xfId="4" applyNumberFormat="1" applyFont="1"/>
    <xf numFmtId="164" fontId="0" fillId="3" borderId="1" xfId="7" applyNumberFormat="1" applyFont="1"/>
    <xf numFmtId="165" fontId="0" fillId="3" borderId="1" xfId="7" applyNumberFormat="1" applyFont="1"/>
    <xf numFmtId="166" fontId="0" fillId="3" borderId="1" xfId="7" applyNumberFormat="1" applyFont="1"/>
    <xf numFmtId="1" fontId="0" fillId="4" borderId="1" xfId="5" applyNumberFormat="1" applyFont="1" applyAlignment="1"/>
    <xf numFmtId="0" fontId="0" fillId="0" borderId="0" xfId="2" applyNumberFormat="1" applyFont="1"/>
    <xf numFmtId="0" fontId="0" fillId="5" borderId="11" xfId="4" applyNumberFormat="1" applyFont="1" applyBorder="1"/>
    <xf numFmtId="164" fontId="0" fillId="5" borderId="11" xfId="4" applyNumberFormat="1" applyFont="1" applyBorder="1"/>
    <xf numFmtId="1" fontId="0" fillId="5" borderId="11" xfId="4" applyNumberFormat="1" applyFont="1" applyBorder="1"/>
    <xf numFmtId="49" fontId="6" fillId="6" borderId="11" xfId="6" applyNumberFormat="1" applyBorder="1"/>
    <xf numFmtId="0" fontId="6" fillId="6" borderId="11" xfId="6" applyNumberFormat="1" applyBorder="1"/>
    <xf numFmtId="164" fontId="0" fillId="3" borderId="11" xfId="7" applyNumberFormat="1" applyFont="1" applyBorder="1"/>
    <xf numFmtId="165" fontId="0" fillId="3" borderId="11" xfId="7" applyNumberFormat="1" applyFont="1" applyBorder="1"/>
    <xf numFmtId="0" fontId="0" fillId="3" borderId="11" xfId="7" applyNumberFormat="1" applyFont="1" applyBorder="1"/>
    <xf numFmtId="166" fontId="0" fillId="3" borderId="11" xfId="7" applyNumberFormat="1" applyFont="1" applyBorder="1"/>
    <xf numFmtId="1" fontId="0" fillId="4" borderId="11" xfId="5" applyNumberFormat="1" applyFont="1" applyBorder="1" applyAlignment="1"/>
    <xf numFmtId="167" fontId="5" fillId="4" borderId="11" xfId="5" applyNumberFormat="1" applyBorder="1" applyAlignment="1"/>
    <xf numFmtId="0" fontId="0" fillId="2" borderId="11" xfId="1" applyNumberFormat="1" applyFont="1" applyBorder="1"/>
    <xf numFmtId="0" fontId="0" fillId="0" borderId="0" xfId="2" applyNumberFormat="1" applyFont="1" applyBorder="1"/>
    <xf numFmtId="0" fontId="0" fillId="0" borderId="0" xfId="0" applyAlignment="1"/>
    <xf numFmtId="0" fontId="5" fillId="5" borderId="1" xfId="8" applyNumberFormat="1" applyAlignment="1"/>
    <xf numFmtId="0" fontId="0" fillId="0" borderId="0" xfId="0" quotePrefix="1" applyAlignment="1"/>
    <xf numFmtId="49" fontId="5" fillId="4" borderId="1" xfId="5" applyNumberFormat="1" applyAlignment="1">
      <alignment wrapText="1"/>
    </xf>
    <xf numFmtId="1" fontId="5" fillId="4" borderId="1" xfId="5" quotePrefix="1" applyNumberFormat="1" applyAlignment="1"/>
    <xf numFmtId="0" fontId="0" fillId="5" borderId="12" xfId="4" applyNumberFormat="1" applyFont="1" applyBorder="1"/>
    <xf numFmtId="49" fontId="6" fillId="6" borderId="12" xfId="6" applyNumberFormat="1" applyBorder="1"/>
    <xf numFmtId="0" fontId="0" fillId="3" borderId="12" xfId="7" applyNumberFormat="1" applyFont="1" applyBorder="1"/>
    <xf numFmtId="0" fontId="0" fillId="2" borderId="12" xfId="1" applyNumberFormat="1" applyFont="1" applyBorder="1"/>
    <xf numFmtId="0" fontId="5" fillId="2" borderId="12" xfId="1" applyNumberFormat="1" applyBorder="1"/>
    <xf numFmtId="1" fontId="5" fillId="4" borderId="12" xfId="5" applyNumberFormat="1" applyBorder="1"/>
    <xf numFmtId="167" fontId="5" fillId="4" borderId="12" xfId="5" applyNumberFormat="1" applyBorder="1"/>
    <xf numFmtId="0" fontId="0" fillId="0" borderId="0" xfId="0" applyFill="1" applyBorder="1" applyAlignment="1"/>
    <xf numFmtId="1" fontId="5" fillId="4" borderId="11" xfId="5" applyNumberFormat="1" applyBorder="1"/>
    <xf numFmtId="167" fontId="5" fillId="4" borderId="11" xfId="5" applyNumberFormat="1" applyBorder="1"/>
    <xf numFmtId="49" fontId="0" fillId="0" borderId="0" xfId="3" applyNumberFormat="1" applyFont="1" applyBorder="1" applyAlignment="1"/>
    <xf numFmtId="0" fontId="0" fillId="5" borderId="1" xfId="4" applyNumberFormat="1" applyFont="1" applyAlignment="1"/>
  </cellXfs>
  <cellStyles count="9">
    <cellStyle name="NodeXL Do Not Edit" xfId="1" xr:uid="{00000000-0005-0000-0000-000000000000}"/>
    <cellStyle name="NodeXL Graph Metric" xfId="5" xr:uid="{00000000-0005-0000-0000-000001000000}"/>
    <cellStyle name="NodeXL Graph Metric Separator" xfId="8" xr:uid="{00000000-0005-0000-0000-000002000000}"/>
    <cellStyle name="NodeXL Label" xfId="6" xr:uid="{00000000-0005-0000-0000-000003000000}"/>
    <cellStyle name="NodeXL Layout" xfId="7" xr:uid="{00000000-0005-0000-0000-000004000000}"/>
    <cellStyle name="NodeXL Other Column" xfId="2" xr:uid="{00000000-0005-0000-0000-000005000000}"/>
    <cellStyle name="NodeXL Required" xfId="3" xr:uid="{00000000-0005-0000-0000-000006000000}"/>
    <cellStyle name="NodeXL Visual Property" xfId="4" xr:uid="{00000000-0005-0000-0000-000007000000}"/>
    <cellStyle name="Normal" xfId="0" builtinId="0"/>
  </cellStyles>
  <dxfs count="149">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border outline="0">
        <left style="thin">
          <color theme="0"/>
        </left>
        <right style="thin">
          <color theme="0"/>
        </right>
      </border>
    </dxf>
    <dxf>
      <numFmt numFmtId="167" formatCode="0.000"/>
      <alignment horizontal="general" vertical="bottom" textRotation="0" wrapText="0" indent="0" justifyLastLine="0" shrinkToFit="0" readingOrder="0"/>
      <border outline="0">
        <right style="thin">
          <color theme="0"/>
        </right>
      </border>
    </dxf>
    <dxf>
      <numFmt numFmtId="167" formatCode="0.000"/>
      <alignment horizontal="general" vertical="bottom" textRotation="0" wrapText="0" indent="0" justifyLastLine="0" shrinkToFit="0" readingOrder="0"/>
      <border outline="0">
        <right style="thin">
          <color theme="0"/>
        </right>
      </border>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border outline="0">
        <right style="thin">
          <color theme="0"/>
        </right>
      </border>
    </dxf>
    <dxf>
      <numFmt numFmtId="167" formatCode="0.000"/>
      <alignment horizontal="general" vertical="bottom" textRotation="0" wrapText="0" indent="0" justifyLastLine="0" shrinkToFit="0" readingOrder="0"/>
    </dxf>
    <dxf>
      <numFmt numFmtId="167" formatCode="0.000"/>
      <alignment horizontal="general" vertical="bottom" textRotation="0" wrapText="0" relativeIndent="0" justifyLastLine="0" shrinkToFit="0" readingOrder="0"/>
      <border outline="0">
        <left style="thin">
          <color theme="0"/>
        </left>
      </border>
    </dxf>
    <dxf>
      <numFmt numFmtId="1" formatCode="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border outline="0">
        <left style="thin">
          <color theme="0"/>
        </left>
      </border>
    </dxf>
    <dxf>
      <numFmt numFmtId="166" formatCode="#,##0.000"/>
      <border outline="0">
        <right style="thin">
          <color theme="0"/>
        </right>
      </border>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1" formatCode="0"/>
      <alignment horizontal="general" vertical="bottom" textRotation="0" wrapText="0" indent="0" justifyLastLine="0" shrinkToFit="0" readingOrder="0"/>
      <border outline="0">
        <right style="thin">
          <color theme="0"/>
        </right>
      </border>
    </dxf>
    <dxf>
      <numFmt numFmtId="0" formatCode="General"/>
      <border outline="0">
        <right style="thin">
          <color theme="0"/>
        </right>
      </border>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numFmt numFmtId="167" formatCode="0.00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dxf>
    <dxf>
      <numFmt numFmtId="30" formatCode="@"/>
      <alignment horizontal="general" vertical="bottom" textRotation="0" wrapText="0"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numFmt numFmtId="30" formatCode="@"/>
    </dxf>
    <dxf>
      <numFmt numFmtId="30" formatCode="@"/>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alignment horizontal="general" vertical="bottom" textRotation="0" wrapText="1" indent="0" justifyLastLine="0" shrinkToFit="0" readingOrder="0"/>
    </dxf>
    <dxf>
      <numFmt numFmtId="0" formatCode="General"/>
    </dxf>
    <dxf>
      <numFmt numFmtId="0" formatCode="General"/>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xr9:uid="{00000000-0011-0000-FFFF-FFFF00000000}">
      <tableStyleElement type="wholeTable" dxfId="148"/>
      <tableStyleElement type="headerRow" dxfId="147"/>
    </tableStyle>
    <tableStyle name="NodeXL Table" pivot="0" count="1" xr9:uid="{00000000-0011-0000-FFFF-FFFF01000000}">
      <tableStyleElement type="headerRow" dxfId="14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41</c:v>
                </c:pt>
              </c:strCache>
            </c:strRef>
          </c:tx>
          <c:spPr>
            <a:solidFill>
              <a:schemeClr val="accent1"/>
            </a:solidFill>
          </c:spPr>
          <c:invertIfNegative val="0"/>
          <c:cat>
            <c:numRef>
              <c:f>'Overall Metrics'!$D$2:$D$45</c:f>
              <c:numCache>
                <c:formatCode>#,##0.00</c:formatCode>
                <c:ptCount val="44"/>
                <c:pt idx="0">
                  <c:v>1</c:v>
                </c:pt>
                <c:pt idx="1">
                  <c:v>1.5116279069767442</c:v>
                </c:pt>
                <c:pt idx="2">
                  <c:v>2.0232558139534884</c:v>
                </c:pt>
                <c:pt idx="3">
                  <c:v>2.5348837209302326</c:v>
                </c:pt>
                <c:pt idx="4">
                  <c:v>3.0465116279069768</c:v>
                </c:pt>
                <c:pt idx="5">
                  <c:v>3.558139534883721</c:v>
                </c:pt>
                <c:pt idx="6">
                  <c:v>4.0697674418604652</c:v>
                </c:pt>
                <c:pt idx="7">
                  <c:v>4.5813953488372094</c:v>
                </c:pt>
                <c:pt idx="8">
                  <c:v>5.0930232558139537</c:v>
                </c:pt>
                <c:pt idx="9">
                  <c:v>5.6046511627906979</c:v>
                </c:pt>
                <c:pt idx="10">
                  <c:v>6.1162790697674421</c:v>
                </c:pt>
                <c:pt idx="11">
                  <c:v>6.6279069767441863</c:v>
                </c:pt>
                <c:pt idx="12">
                  <c:v>7.1395348837209305</c:v>
                </c:pt>
                <c:pt idx="13">
                  <c:v>7.6511627906976747</c:v>
                </c:pt>
                <c:pt idx="14">
                  <c:v>8.1627906976744189</c:v>
                </c:pt>
                <c:pt idx="15">
                  <c:v>8.6744186046511622</c:v>
                </c:pt>
                <c:pt idx="16">
                  <c:v>9.1860465116279073</c:v>
                </c:pt>
                <c:pt idx="17">
                  <c:v>9.6976744186046524</c:v>
                </c:pt>
                <c:pt idx="18">
                  <c:v>10.209302325581397</c:v>
                </c:pt>
                <c:pt idx="19">
                  <c:v>10.720930232558143</c:v>
                </c:pt>
                <c:pt idx="20">
                  <c:v>11.232558139534888</c:v>
                </c:pt>
                <c:pt idx="21">
                  <c:v>11.744186046511633</c:v>
                </c:pt>
                <c:pt idx="22">
                  <c:v>12.255813953488378</c:v>
                </c:pt>
                <c:pt idx="23">
                  <c:v>12.767441860465123</c:v>
                </c:pt>
                <c:pt idx="24">
                  <c:v>13.279069767441868</c:v>
                </c:pt>
                <c:pt idx="25">
                  <c:v>13.790697674418613</c:v>
                </c:pt>
                <c:pt idx="26">
                  <c:v>14.302325581395358</c:v>
                </c:pt>
                <c:pt idx="27">
                  <c:v>14.813953488372103</c:v>
                </c:pt>
                <c:pt idx="28">
                  <c:v>15.325581395348848</c:v>
                </c:pt>
                <c:pt idx="29">
                  <c:v>15.837209302325594</c:v>
                </c:pt>
                <c:pt idx="30">
                  <c:v>16.348837209302339</c:v>
                </c:pt>
                <c:pt idx="31">
                  <c:v>16.860465116279084</c:v>
                </c:pt>
                <c:pt idx="32">
                  <c:v>17.372093023255829</c:v>
                </c:pt>
                <c:pt idx="33">
                  <c:v>17.883720930232574</c:v>
                </c:pt>
                <c:pt idx="34">
                  <c:v>18.395348837209319</c:v>
                </c:pt>
                <c:pt idx="35">
                  <c:v>18.906976744186064</c:v>
                </c:pt>
                <c:pt idx="36">
                  <c:v>19.418604651162809</c:v>
                </c:pt>
                <c:pt idx="37">
                  <c:v>19.930232558139554</c:v>
                </c:pt>
                <c:pt idx="38">
                  <c:v>20.441860465116299</c:v>
                </c:pt>
                <c:pt idx="39">
                  <c:v>20.953488372093044</c:v>
                </c:pt>
                <c:pt idx="40">
                  <c:v>21.46511627906979</c:v>
                </c:pt>
                <c:pt idx="41">
                  <c:v>21.976744186046535</c:v>
                </c:pt>
                <c:pt idx="42">
                  <c:v>22.48837209302328</c:v>
                </c:pt>
                <c:pt idx="43">
                  <c:v>23</c:v>
                </c:pt>
              </c:numCache>
            </c:numRef>
          </c:cat>
          <c:val>
            <c:numRef>
              <c:f>'Overall Metrics'!$E$2:$E$45</c:f>
              <c:numCache>
                <c:formatCode>General</c:formatCode>
                <c:ptCount val="44"/>
                <c:pt idx="0">
                  <c:v>41</c:v>
                </c:pt>
                <c:pt idx="1">
                  <c:v>7</c:v>
                </c:pt>
                <c:pt idx="2">
                  <c:v>0</c:v>
                </c:pt>
                <c:pt idx="3">
                  <c:v>1</c:v>
                </c:pt>
                <c:pt idx="4">
                  <c:v>0</c:v>
                </c:pt>
                <c:pt idx="5">
                  <c:v>3</c:v>
                </c:pt>
                <c:pt idx="6">
                  <c:v>0</c:v>
                </c:pt>
                <c:pt idx="7">
                  <c:v>2</c:v>
                </c:pt>
                <c:pt idx="8">
                  <c:v>0</c:v>
                </c:pt>
                <c:pt idx="9">
                  <c:v>1</c:v>
                </c:pt>
                <c:pt idx="10">
                  <c:v>0</c:v>
                </c:pt>
                <c:pt idx="11">
                  <c:v>0</c:v>
                </c:pt>
                <c:pt idx="12">
                  <c:v>0</c:v>
                </c:pt>
                <c:pt idx="13">
                  <c:v>0</c:v>
                </c:pt>
                <c:pt idx="14">
                  <c:v>0</c:v>
                </c:pt>
                <c:pt idx="15">
                  <c:v>0</c:v>
                </c:pt>
                <c:pt idx="16">
                  <c:v>0</c:v>
                </c:pt>
                <c:pt idx="17">
                  <c:v>0</c:v>
                </c:pt>
                <c:pt idx="18">
                  <c:v>0</c:v>
                </c:pt>
                <c:pt idx="19">
                  <c:v>1</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c:v>
                </c:pt>
              </c:numCache>
            </c:numRef>
          </c:val>
          <c:extLst>
            <c:ext xmlns:c16="http://schemas.microsoft.com/office/drawing/2014/chart" uri="{C3380CC4-5D6E-409C-BE32-E72D297353CC}">
              <c16:uniqueId val="{00000000-934C-4997-B06D-1139CEF4CDE4}"/>
            </c:ext>
          </c:extLst>
        </c:ser>
        <c:dLbls>
          <c:showLegendKey val="0"/>
          <c:showVal val="0"/>
          <c:showCatName val="0"/>
          <c:showSerName val="0"/>
          <c:showPercent val="0"/>
          <c:showBubbleSize val="0"/>
        </c:dLbls>
        <c:gapWidth val="0"/>
        <c:axId val="-1133292176"/>
        <c:axId val="-1133286192"/>
      </c:barChart>
      <c:catAx>
        <c:axId val="-113329217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133286192"/>
        <c:crosses val="autoZero"/>
        <c:auto val="1"/>
        <c:lblAlgn val="ctr"/>
        <c:lblOffset val="100"/>
        <c:noMultiLvlLbl val="0"/>
      </c:catAx>
      <c:valAx>
        <c:axId val="-11332861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21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F6DE-4890-8B62-722127A076B2}"/>
            </c:ext>
          </c:extLst>
        </c:ser>
        <c:dLbls>
          <c:showLegendKey val="0"/>
          <c:showVal val="0"/>
          <c:showCatName val="0"/>
          <c:showSerName val="0"/>
          <c:showPercent val="0"/>
          <c:showBubbleSize val="0"/>
        </c:dLbls>
        <c:gapWidth val="0"/>
        <c:axId val="-1133298704"/>
        <c:axId val="-1133276944"/>
      </c:barChart>
      <c:catAx>
        <c:axId val="-1133298704"/>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133276944"/>
        <c:crosses val="autoZero"/>
        <c:auto val="1"/>
        <c:lblAlgn val="ctr"/>
        <c:lblOffset val="100"/>
        <c:noMultiLvlLbl val="0"/>
      </c:catAx>
      <c:valAx>
        <c:axId val="-11332769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870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070B-4AC4-BB77-AFCDA6E87076}"/>
            </c:ext>
          </c:extLst>
        </c:ser>
        <c:dLbls>
          <c:showLegendKey val="0"/>
          <c:showVal val="0"/>
          <c:showCatName val="0"/>
          <c:showSerName val="0"/>
          <c:showPercent val="0"/>
          <c:showBubbleSize val="0"/>
        </c:dLbls>
        <c:gapWidth val="0"/>
        <c:axId val="-1133280752"/>
        <c:axId val="-1133280208"/>
      </c:barChart>
      <c:catAx>
        <c:axId val="-1133280752"/>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1133280208"/>
        <c:crosses val="autoZero"/>
        <c:auto val="1"/>
        <c:lblAlgn val="ctr"/>
        <c:lblOffset val="100"/>
        <c:noMultiLvlLbl val="0"/>
      </c:catAx>
      <c:valAx>
        <c:axId val="-11332802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075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42</c:v>
                </c:pt>
              </c:strCache>
            </c:strRef>
          </c:tx>
          <c:spPr>
            <a:solidFill>
              <a:schemeClr val="accent1"/>
            </a:solidFill>
          </c:spPr>
          <c:invertIfNegative val="0"/>
          <c:cat>
            <c:numRef>
              <c:f>'Overall Metrics'!$J$2:$J$45</c:f>
              <c:numCache>
                <c:formatCode>#,##0.00</c:formatCode>
                <c:ptCount val="44"/>
                <c:pt idx="0">
                  <c:v>0</c:v>
                </c:pt>
                <c:pt idx="1">
                  <c:v>16.531007744186049</c:v>
                </c:pt>
                <c:pt idx="2">
                  <c:v>33.062015488372097</c:v>
                </c:pt>
                <c:pt idx="3">
                  <c:v>49.593023232558146</c:v>
                </c:pt>
                <c:pt idx="4">
                  <c:v>66.124030976744194</c:v>
                </c:pt>
                <c:pt idx="5">
                  <c:v>82.655038720930236</c:v>
                </c:pt>
                <c:pt idx="6">
                  <c:v>99.186046465116277</c:v>
                </c:pt>
                <c:pt idx="7">
                  <c:v>115.71705420930232</c:v>
                </c:pt>
                <c:pt idx="8">
                  <c:v>132.24806195348836</c:v>
                </c:pt>
                <c:pt idx="9">
                  <c:v>148.7790696976744</c:v>
                </c:pt>
                <c:pt idx="10">
                  <c:v>165.31007744186044</c:v>
                </c:pt>
                <c:pt idx="11">
                  <c:v>181.84108518604648</c:v>
                </c:pt>
                <c:pt idx="12">
                  <c:v>198.37209293023253</c:v>
                </c:pt>
                <c:pt idx="13">
                  <c:v>214.90310067441857</c:v>
                </c:pt>
                <c:pt idx="14">
                  <c:v>231.43410841860461</c:v>
                </c:pt>
                <c:pt idx="15">
                  <c:v>247.96511616279065</c:v>
                </c:pt>
                <c:pt idx="16">
                  <c:v>264.49612390697672</c:v>
                </c:pt>
                <c:pt idx="17">
                  <c:v>281.02713165116279</c:v>
                </c:pt>
                <c:pt idx="18">
                  <c:v>297.55813939534886</c:v>
                </c:pt>
                <c:pt idx="19">
                  <c:v>314.08914713953493</c:v>
                </c:pt>
                <c:pt idx="20">
                  <c:v>330.620154883721</c:v>
                </c:pt>
                <c:pt idx="21">
                  <c:v>347.15116262790707</c:v>
                </c:pt>
                <c:pt idx="22">
                  <c:v>363.68217037209314</c:v>
                </c:pt>
                <c:pt idx="23">
                  <c:v>380.21317811627921</c:v>
                </c:pt>
                <c:pt idx="24">
                  <c:v>396.74418586046528</c:v>
                </c:pt>
                <c:pt idx="25">
                  <c:v>413.27519360465135</c:v>
                </c:pt>
                <c:pt idx="26">
                  <c:v>429.80620134883742</c:v>
                </c:pt>
                <c:pt idx="27">
                  <c:v>446.33720909302349</c:v>
                </c:pt>
                <c:pt idx="28">
                  <c:v>462.86821683720956</c:v>
                </c:pt>
                <c:pt idx="29">
                  <c:v>479.39922458139563</c:v>
                </c:pt>
                <c:pt idx="30">
                  <c:v>495.9302323255817</c:v>
                </c:pt>
                <c:pt idx="31">
                  <c:v>512.46124006976777</c:v>
                </c:pt>
                <c:pt idx="32">
                  <c:v>528.99224781395378</c:v>
                </c:pt>
                <c:pt idx="33">
                  <c:v>545.52325555813979</c:v>
                </c:pt>
                <c:pt idx="34">
                  <c:v>562.05426330232581</c:v>
                </c:pt>
                <c:pt idx="35">
                  <c:v>578.58527104651182</c:v>
                </c:pt>
                <c:pt idx="36">
                  <c:v>595.11627879069783</c:v>
                </c:pt>
                <c:pt idx="37">
                  <c:v>611.64728653488385</c:v>
                </c:pt>
                <c:pt idx="38">
                  <c:v>628.17829427906986</c:v>
                </c:pt>
                <c:pt idx="39">
                  <c:v>644.70930202325587</c:v>
                </c:pt>
                <c:pt idx="40">
                  <c:v>661.24030976744189</c:v>
                </c:pt>
                <c:pt idx="41">
                  <c:v>677.7713175116279</c:v>
                </c:pt>
                <c:pt idx="42">
                  <c:v>694.30232525581391</c:v>
                </c:pt>
                <c:pt idx="43">
                  <c:v>710.83333300000004</c:v>
                </c:pt>
              </c:numCache>
            </c:numRef>
          </c:cat>
          <c:val>
            <c:numRef>
              <c:f>'Overall Metrics'!$K$2:$K$45</c:f>
              <c:numCache>
                <c:formatCode>General</c:formatCode>
                <c:ptCount val="44"/>
                <c:pt idx="0">
                  <c:v>42</c:v>
                </c:pt>
                <c:pt idx="1">
                  <c:v>1</c:v>
                </c:pt>
                <c:pt idx="2">
                  <c:v>4</c:v>
                </c:pt>
                <c:pt idx="3">
                  <c:v>0</c:v>
                </c:pt>
                <c:pt idx="4">
                  <c:v>0</c:v>
                </c:pt>
                <c:pt idx="5">
                  <c:v>1</c:v>
                </c:pt>
                <c:pt idx="6">
                  <c:v>0</c:v>
                </c:pt>
                <c:pt idx="7">
                  <c:v>2</c:v>
                </c:pt>
                <c:pt idx="8">
                  <c:v>0</c:v>
                </c:pt>
                <c:pt idx="9">
                  <c:v>2</c:v>
                </c:pt>
                <c:pt idx="10">
                  <c:v>1</c:v>
                </c:pt>
                <c:pt idx="11">
                  <c:v>1</c:v>
                </c:pt>
                <c:pt idx="12">
                  <c:v>0</c:v>
                </c:pt>
                <c:pt idx="13">
                  <c:v>0</c:v>
                </c:pt>
                <c:pt idx="14">
                  <c:v>1</c:v>
                </c:pt>
                <c:pt idx="15">
                  <c:v>0</c:v>
                </c:pt>
                <c:pt idx="16">
                  <c:v>0</c:v>
                </c:pt>
                <c:pt idx="17">
                  <c:v>0</c:v>
                </c:pt>
                <c:pt idx="18">
                  <c:v>0</c:v>
                </c:pt>
                <c:pt idx="19">
                  <c:v>0</c:v>
                </c:pt>
                <c:pt idx="20">
                  <c:v>0</c:v>
                </c:pt>
                <c:pt idx="21">
                  <c:v>0</c:v>
                </c:pt>
                <c:pt idx="22">
                  <c:v>0</c:v>
                </c:pt>
                <c:pt idx="23">
                  <c:v>0</c:v>
                </c:pt>
                <c:pt idx="24">
                  <c:v>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c:v>
                </c:pt>
              </c:numCache>
            </c:numRef>
          </c:val>
          <c:extLst>
            <c:ext xmlns:c16="http://schemas.microsoft.com/office/drawing/2014/chart" uri="{C3380CC4-5D6E-409C-BE32-E72D297353CC}">
              <c16:uniqueId val="{00000000-53AB-47F3-9C94-0B8F6692C52C}"/>
            </c:ext>
          </c:extLst>
        </c:ser>
        <c:dLbls>
          <c:showLegendKey val="0"/>
          <c:showVal val="0"/>
          <c:showCatName val="0"/>
          <c:showSerName val="0"/>
          <c:showPercent val="0"/>
          <c:showBubbleSize val="0"/>
        </c:dLbls>
        <c:gapWidth val="0"/>
        <c:axId val="-1133290544"/>
        <c:axId val="-1133274768"/>
      </c:barChart>
      <c:catAx>
        <c:axId val="-113329054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1133274768"/>
        <c:crosses val="autoZero"/>
        <c:auto val="1"/>
        <c:lblAlgn val="ctr"/>
        <c:lblOffset val="100"/>
        <c:noMultiLvlLbl val="0"/>
      </c:catAx>
      <c:valAx>
        <c:axId val="-11332747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9054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48</c:v>
                </c:pt>
              </c:strCache>
            </c:strRef>
          </c:tx>
          <c:spPr>
            <a:solidFill>
              <a:schemeClr val="accent1"/>
            </a:solidFill>
          </c:spPr>
          <c:invertIfNegative val="0"/>
          <c:cat>
            <c:numRef>
              <c:f>'Overall Metrics'!$L$2:$L$45</c:f>
              <c:numCache>
                <c:formatCode>#,##0.00</c:formatCode>
                <c:ptCount val="44"/>
                <c:pt idx="0">
                  <c:v>4.3480000000000003E-3</c:v>
                </c:pt>
                <c:pt idx="1">
                  <c:v>2.7502697674418604E-2</c:v>
                </c:pt>
                <c:pt idx="2">
                  <c:v>5.0657395348837203E-2</c:v>
                </c:pt>
                <c:pt idx="3">
                  <c:v>7.3812093023255809E-2</c:v>
                </c:pt>
                <c:pt idx="4">
                  <c:v>9.6966790697674415E-2</c:v>
                </c:pt>
                <c:pt idx="5">
                  <c:v>0.12012148837209302</c:v>
                </c:pt>
                <c:pt idx="6">
                  <c:v>0.14327618604651163</c:v>
                </c:pt>
                <c:pt idx="7">
                  <c:v>0.16643088372093023</c:v>
                </c:pt>
                <c:pt idx="8">
                  <c:v>0.18958558139534884</c:v>
                </c:pt>
                <c:pt idx="9">
                  <c:v>0.21274027906976745</c:v>
                </c:pt>
                <c:pt idx="10">
                  <c:v>0.23589497674418605</c:v>
                </c:pt>
                <c:pt idx="11">
                  <c:v>0.25904967441860466</c:v>
                </c:pt>
                <c:pt idx="12">
                  <c:v>0.28220437209302324</c:v>
                </c:pt>
                <c:pt idx="13">
                  <c:v>0.30535906976744182</c:v>
                </c:pt>
                <c:pt idx="14">
                  <c:v>0.32851376744186039</c:v>
                </c:pt>
                <c:pt idx="15">
                  <c:v>0.35166846511627897</c:v>
                </c:pt>
                <c:pt idx="16">
                  <c:v>0.37482316279069755</c:v>
                </c:pt>
                <c:pt idx="17">
                  <c:v>0.39797786046511613</c:v>
                </c:pt>
                <c:pt idx="18">
                  <c:v>0.42113255813953471</c:v>
                </c:pt>
                <c:pt idx="19">
                  <c:v>0.44428725581395329</c:v>
                </c:pt>
                <c:pt idx="20">
                  <c:v>0.46744195348837186</c:v>
                </c:pt>
                <c:pt idx="21">
                  <c:v>0.49059665116279044</c:v>
                </c:pt>
                <c:pt idx="22">
                  <c:v>0.51375134883720908</c:v>
                </c:pt>
                <c:pt idx="23">
                  <c:v>0.53690604651162765</c:v>
                </c:pt>
                <c:pt idx="24">
                  <c:v>0.56006074418604623</c:v>
                </c:pt>
                <c:pt idx="25">
                  <c:v>0.58321544186046481</c:v>
                </c:pt>
                <c:pt idx="26">
                  <c:v>0.60637013953488339</c:v>
                </c:pt>
                <c:pt idx="27">
                  <c:v>0.62952483720930197</c:v>
                </c:pt>
                <c:pt idx="28">
                  <c:v>0.65267953488372055</c:v>
                </c:pt>
                <c:pt idx="29">
                  <c:v>0.67583423255813913</c:v>
                </c:pt>
                <c:pt idx="30">
                  <c:v>0.6989889302325577</c:v>
                </c:pt>
                <c:pt idx="31">
                  <c:v>0.72214362790697628</c:v>
                </c:pt>
                <c:pt idx="32">
                  <c:v>0.74529832558139486</c:v>
                </c:pt>
                <c:pt idx="33">
                  <c:v>0.76845302325581344</c:v>
                </c:pt>
                <c:pt idx="34">
                  <c:v>0.79160772093023202</c:v>
                </c:pt>
                <c:pt idx="35">
                  <c:v>0.8147624186046506</c:v>
                </c:pt>
                <c:pt idx="36">
                  <c:v>0.83791711627906917</c:v>
                </c:pt>
                <c:pt idx="37">
                  <c:v>0.86107181395348775</c:v>
                </c:pt>
                <c:pt idx="38">
                  <c:v>0.88422651162790633</c:v>
                </c:pt>
                <c:pt idx="39">
                  <c:v>0.90738120930232491</c:v>
                </c:pt>
                <c:pt idx="40">
                  <c:v>0.93053590697674349</c:v>
                </c:pt>
                <c:pt idx="41">
                  <c:v>0.95369060465116207</c:v>
                </c:pt>
                <c:pt idx="42">
                  <c:v>0.97684530232558064</c:v>
                </c:pt>
                <c:pt idx="43">
                  <c:v>1</c:v>
                </c:pt>
              </c:numCache>
            </c:numRef>
          </c:cat>
          <c:val>
            <c:numRef>
              <c:f>'Overall Metrics'!$M$2:$M$45</c:f>
              <c:numCache>
                <c:formatCode>General</c:formatCode>
                <c:ptCount val="44"/>
                <c:pt idx="0">
                  <c:v>48</c:v>
                </c:pt>
                <c:pt idx="1">
                  <c:v>0</c:v>
                </c:pt>
                <c:pt idx="2">
                  <c:v>0</c:v>
                </c:pt>
                <c:pt idx="3">
                  <c:v>0</c:v>
                </c:pt>
                <c:pt idx="4">
                  <c:v>0</c:v>
                </c:pt>
                <c:pt idx="5">
                  <c:v>0</c:v>
                </c:pt>
                <c:pt idx="6">
                  <c:v>0</c:v>
                </c:pt>
                <c:pt idx="7">
                  <c:v>0</c:v>
                </c:pt>
                <c:pt idx="8">
                  <c:v>0</c:v>
                </c:pt>
                <c:pt idx="9">
                  <c:v>0</c:v>
                </c:pt>
                <c:pt idx="10">
                  <c:v>0</c:v>
                </c:pt>
                <c:pt idx="11">
                  <c:v>0</c:v>
                </c:pt>
                <c:pt idx="12">
                  <c:v>0</c:v>
                </c:pt>
                <c:pt idx="13">
                  <c:v>0</c:v>
                </c:pt>
                <c:pt idx="14">
                  <c:v>2</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6</c:v>
                </c:pt>
              </c:numCache>
            </c:numRef>
          </c:val>
          <c:extLst>
            <c:ext xmlns:c16="http://schemas.microsoft.com/office/drawing/2014/chart" uri="{C3380CC4-5D6E-409C-BE32-E72D297353CC}">
              <c16:uniqueId val="{00000000-A909-42C9-9540-CB8E7E7FD0B3}"/>
            </c:ext>
          </c:extLst>
        </c:ser>
        <c:dLbls>
          <c:showLegendKey val="0"/>
          <c:showVal val="0"/>
          <c:showCatName val="0"/>
          <c:showSerName val="0"/>
          <c:showPercent val="0"/>
          <c:showBubbleSize val="0"/>
        </c:dLbls>
        <c:gapWidth val="0"/>
        <c:axId val="-1133285648"/>
        <c:axId val="-1133299248"/>
      </c:barChart>
      <c:catAx>
        <c:axId val="-1133285648"/>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1133299248"/>
        <c:crosses val="autoZero"/>
        <c:auto val="1"/>
        <c:lblAlgn val="ctr"/>
        <c:lblOffset val="100"/>
        <c:noMultiLvlLbl val="0"/>
      </c:catAx>
      <c:valAx>
        <c:axId val="-11332992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8564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16</c:v>
                </c:pt>
              </c:strCache>
            </c:strRef>
          </c:tx>
          <c:spPr>
            <a:solidFill>
              <a:schemeClr val="accent1"/>
            </a:solidFill>
          </c:spPr>
          <c:invertIfNegative val="0"/>
          <c:cat>
            <c:numRef>
              <c:f>'Overall Metrics'!$N$2:$N$45</c:f>
              <c:numCache>
                <c:formatCode>#,##0.00</c:formatCode>
                <c:ptCount val="44"/>
                <c:pt idx="0">
                  <c:v>0</c:v>
                </c:pt>
                <c:pt idx="1">
                  <c:v>1.1448139534883722E-3</c:v>
                </c:pt>
                <c:pt idx="2">
                  <c:v>2.2896279069767444E-3</c:v>
                </c:pt>
                <c:pt idx="3">
                  <c:v>3.4344418604651166E-3</c:v>
                </c:pt>
                <c:pt idx="4">
                  <c:v>4.5792558139534888E-3</c:v>
                </c:pt>
                <c:pt idx="5">
                  <c:v>5.724069767441861E-3</c:v>
                </c:pt>
                <c:pt idx="6">
                  <c:v>6.8688837209302332E-3</c:v>
                </c:pt>
                <c:pt idx="7">
                  <c:v>8.0136976744186045E-3</c:v>
                </c:pt>
                <c:pt idx="8">
                  <c:v>9.1585116279069775E-3</c:v>
                </c:pt>
                <c:pt idx="9">
                  <c:v>1.0303325581395351E-2</c:v>
                </c:pt>
                <c:pt idx="10">
                  <c:v>1.1448139534883724E-2</c:v>
                </c:pt>
                <c:pt idx="11">
                  <c:v>1.2592953488372097E-2</c:v>
                </c:pt>
                <c:pt idx="12">
                  <c:v>1.373776744186047E-2</c:v>
                </c:pt>
                <c:pt idx="13">
                  <c:v>1.4882581395348843E-2</c:v>
                </c:pt>
                <c:pt idx="14">
                  <c:v>1.6027395348837216E-2</c:v>
                </c:pt>
                <c:pt idx="15">
                  <c:v>1.7172209302325589E-2</c:v>
                </c:pt>
                <c:pt idx="16">
                  <c:v>1.8317023255813962E-2</c:v>
                </c:pt>
                <c:pt idx="17">
                  <c:v>1.9461837209302335E-2</c:v>
                </c:pt>
                <c:pt idx="18">
                  <c:v>2.0606651162790708E-2</c:v>
                </c:pt>
                <c:pt idx="19">
                  <c:v>2.1751465116279081E-2</c:v>
                </c:pt>
                <c:pt idx="20">
                  <c:v>2.2896279069767454E-2</c:v>
                </c:pt>
                <c:pt idx="21">
                  <c:v>2.4041093023255827E-2</c:v>
                </c:pt>
                <c:pt idx="22">
                  <c:v>2.51859069767442E-2</c:v>
                </c:pt>
                <c:pt idx="23">
                  <c:v>2.6330720930232573E-2</c:v>
                </c:pt>
                <c:pt idx="24">
                  <c:v>2.7475534883720946E-2</c:v>
                </c:pt>
                <c:pt idx="25">
                  <c:v>2.862034883720932E-2</c:v>
                </c:pt>
                <c:pt idx="26">
                  <c:v>2.9765162790697693E-2</c:v>
                </c:pt>
                <c:pt idx="27">
                  <c:v>3.0909976744186066E-2</c:v>
                </c:pt>
                <c:pt idx="28">
                  <c:v>3.2054790697674439E-2</c:v>
                </c:pt>
                <c:pt idx="29">
                  <c:v>3.3199604651162812E-2</c:v>
                </c:pt>
                <c:pt idx="30">
                  <c:v>3.4344418604651185E-2</c:v>
                </c:pt>
                <c:pt idx="31">
                  <c:v>3.5489232558139558E-2</c:v>
                </c:pt>
                <c:pt idx="32">
                  <c:v>3.6634046511627931E-2</c:v>
                </c:pt>
                <c:pt idx="33">
                  <c:v>3.7778860465116304E-2</c:v>
                </c:pt>
                <c:pt idx="34">
                  <c:v>3.8923674418604677E-2</c:v>
                </c:pt>
                <c:pt idx="35">
                  <c:v>4.006848837209305E-2</c:v>
                </c:pt>
                <c:pt idx="36">
                  <c:v>4.1213302325581423E-2</c:v>
                </c:pt>
                <c:pt idx="37">
                  <c:v>4.2358116279069796E-2</c:v>
                </c:pt>
                <c:pt idx="38">
                  <c:v>4.3502930232558169E-2</c:v>
                </c:pt>
                <c:pt idx="39">
                  <c:v>4.4647744186046542E-2</c:v>
                </c:pt>
                <c:pt idx="40">
                  <c:v>4.5792558139534915E-2</c:v>
                </c:pt>
                <c:pt idx="41">
                  <c:v>4.6937372093023288E-2</c:v>
                </c:pt>
                <c:pt idx="42">
                  <c:v>4.8082186046511662E-2</c:v>
                </c:pt>
                <c:pt idx="43">
                  <c:v>4.9227E-2</c:v>
                </c:pt>
              </c:numCache>
            </c:numRef>
          </c:cat>
          <c:val>
            <c:numRef>
              <c:f>'Overall Metrics'!$O$2:$O$45</c:f>
              <c:numCache>
                <c:formatCode>General</c:formatCode>
                <c:ptCount val="44"/>
                <c:pt idx="0">
                  <c:v>16</c:v>
                </c:pt>
                <c:pt idx="1">
                  <c:v>0</c:v>
                </c:pt>
                <c:pt idx="2">
                  <c:v>0</c:v>
                </c:pt>
                <c:pt idx="3">
                  <c:v>3</c:v>
                </c:pt>
                <c:pt idx="4">
                  <c:v>1</c:v>
                </c:pt>
                <c:pt idx="5">
                  <c:v>9</c:v>
                </c:pt>
                <c:pt idx="6">
                  <c:v>0</c:v>
                </c:pt>
                <c:pt idx="7">
                  <c:v>0</c:v>
                </c:pt>
                <c:pt idx="8">
                  <c:v>2</c:v>
                </c:pt>
                <c:pt idx="9">
                  <c:v>0</c:v>
                </c:pt>
                <c:pt idx="10">
                  <c:v>0</c:v>
                </c:pt>
                <c:pt idx="11">
                  <c:v>1</c:v>
                </c:pt>
                <c:pt idx="12">
                  <c:v>0</c:v>
                </c:pt>
                <c:pt idx="13">
                  <c:v>0</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18</c:v>
                </c:pt>
                <c:pt idx="30">
                  <c:v>0</c:v>
                </c:pt>
                <c:pt idx="31">
                  <c:v>0</c:v>
                </c:pt>
                <c:pt idx="32">
                  <c:v>0</c:v>
                </c:pt>
                <c:pt idx="33">
                  <c:v>0</c:v>
                </c:pt>
                <c:pt idx="34">
                  <c:v>0</c:v>
                </c:pt>
                <c:pt idx="35">
                  <c:v>4</c:v>
                </c:pt>
                <c:pt idx="36">
                  <c:v>0</c:v>
                </c:pt>
                <c:pt idx="37">
                  <c:v>0</c:v>
                </c:pt>
                <c:pt idx="38">
                  <c:v>0</c:v>
                </c:pt>
                <c:pt idx="39">
                  <c:v>0</c:v>
                </c:pt>
                <c:pt idx="40">
                  <c:v>1</c:v>
                </c:pt>
                <c:pt idx="41">
                  <c:v>0</c:v>
                </c:pt>
                <c:pt idx="42">
                  <c:v>0</c:v>
                </c:pt>
                <c:pt idx="43">
                  <c:v>1</c:v>
                </c:pt>
              </c:numCache>
            </c:numRef>
          </c:val>
          <c:extLst>
            <c:ext xmlns:c16="http://schemas.microsoft.com/office/drawing/2014/chart" uri="{C3380CC4-5D6E-409C-BE32-E72D297353CC}">
              <c16:uniqueId val="{00000000-101D-441E-B608-3FB067A8581E}"/>
            </c:ext>
          </c:extLst>
        </c:ser>
        <c:dLbls>
          <c:showLegendKey val="0"/>
          <c:showVal val="0"/>
          <c:showCatName val="0"/>
          <c:showSerName val="0"/>
          <c:showPercent val="0"/>
          <c:showBubbleSize val="0"/>
        </c:dLbls>
        <c:gapWidth val="0"/>
        <c:axId val="-1133278576"/>
        <c:axId val="-1133288912"/>
      </c:barChart>
      <c:catAx>
        <c:axId val="-113327857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1133288912"/>
        <c:crosses val="autoZero"/>
        <c:auto val="1"/>
        <c:lblAlgn val="ctr"/>
        <c:lblOffset val="100"/>
        <c:noMultiLvlLbl val="0"/>
      </c:catAx>
      <c:valAx>
        <c:axId val="-113328891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8576"/>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57</c:v>
                </c:pt>
              </c:numCache>
            </c:numRef>
          </c:val>
          <c:extLst>
            <c:ext xmlns:c16="http://schemas.microsoft.com/office/drawing/2014/chart" uri="{C3380CC4-5D6E-409C-BE32-E72D297353CC}">
              <c16:uniqueId val="{00000000-3432-4B43-8339-675496BE9559}"/>
            </c:ext>
          </c:extLst>
        </c:ser>
        <c:dLbls>
          <c:showLegendKey val="0"/>
          <c:showVal val="0"/>
          <c:showCatName val="0"/>
          <c:showSerName val="0"/>
          <c:showPercent val="0"/>
          <c:showBubbleSize val="0"/>
        </c:dLbls>
        <c:gapWidth val="0"/>
        <c:axId val="-1133276400"/>
        <c:axId val="-1133297616"/>
      </c:barChart>
      <c:catAx>
        <c:axId val="-1133276400"/>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1133297616"/>
        <c:crosses val="autoZero"/>
        <c:auto val="1"/>
        <c:lblAlgn val="ctr"/>
        <c:lblOffset val="100"/>
        <c:noMultiLvlLbl val="0"/>
      </c:catAx>
      <c:valAx>
        <c:axId val="-113329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640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35</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35</c:v>
                </c:pt>
                <c:pt idx="1">
                  <c:v>5</c:v>
                </c:pt>
                <c:pt idx="2">
                  <c:v>8</c:v>
                </c:pt>
                <c:pt idx="3">
                  <c:v>0</c:v>
                </c:pt>
                <c:pt idx="4">
                  <c:v>2</c:v>
                </c:pt>
                <c:pt idx="5">
                  <c:v>2</c:v>
                </c:pt>
                <c:pt idx="6">
                  <c:v>1</c:v>
                </c:pt>
                <c:pt idx="7">
                  <c:v>1</c:v>
                </c:pt>
                <c:pt idx="8">
                  <c:v>1</c:v>
                </c:pt>
                <c:pt idx="9">
                  <c:v>0</c:v>
                </c:pt>
                <c:pt idx="10">
                  <c:v>0</c:v>
                </c:pt>
                <c:pt idx="11">
                  <c:v>0</c:v>
                </c:pt>
                <c:pt idx="12">
                  <c:v>0</c:v>
                </c:pt>
                <c:pt idx="13">
                  <c:v>0</c:v>
                </c:pt>
                <c:pt idx="14">
                  <c:v>0</c:v>
                </c:pt>
                <c:pt idx="15">
                  <c:v>0</c:v>
                </c:pt>
                <c:pt idx="16">
                  <c:v>0</c:v>
                </c:pt>
                <c:pt idx="17">
                  <c:v>0</c:v>
                </c:pt>
                <c:pt idx="18">
                  <c:v>1</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1</c:v>
                </c:pt>
              </c:numCache>
            </c:numRef>
          </c:val>
          <c:extLst>
            <c:ext xmlns:c16="http://schemas.microsoft.com/office/drawing/2014/chart" uri="{C3380CC4-5D6E-409C-BE32-E72D297353CC}">
              <c16:uniqueId val="{00000000-2DE4-4B54-BCEC-D32424D747EC}"/>
            </c:ext>
          </c:extLst>
        </c:ser>
        <c:dLbls>
          <c:showLegendKey val="0"/>
          <c:showVal val="0"/>
          <c:showCatName val="0"/>
          <c:showSerName val="0"/>
          <c:showPercent val="0"/>
          <c:showBubbleSize val="0"/>
        </c:dLbls>
        <c:gapWidth val="0"/>
        <c:axId val="-1133274224"/>
        <c:axId val="-1133273680"/>
      </c:barChart>
      <c:catAx>
        <c:axId val="-113327422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33273680"/>
        <c:crosses val="autoZero"/>
        <c:auto val="1"/>
        <c:lblAlgn val="ctr"/>
        <c:lblOffset val="100"/>
        <c:noMultiLvlLbl val="0"/>
      </c:catAx>
      <c:valAx>
        <c:axId val="-113327368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3327422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7</c:v>
                </c:pt>
              </c:strCache>
            </c:strRef>
          </c:tx>
          <c:spPr>
            <a:solidFill>
              <a:schemeClr val="accent1"/>
            </a:solidFill>
          </c:spPr>
          <c:invertIfNegative val="0"/>
          <c:cat>
            <c:numRef>
              <c:f>'Overall Metrics'!$T$2:$T$45</c:f>
              <c:numCache>
                <c:formatCode>#,##0.00</c:formatCode>
                <c:ptCount val="44"/>
                <c:pt idx="0">
                  <c:v>154.30667114257813</c:v>
                </c:pt>
                <c:pt idx="1">
                  <c:v>379.77003798373909</c:v>
                </c:pt>
                <c:pt idx="2">
                  <c:v>605.23340482490005</c:v>
                </c:pt>
                <c:pt idx="3">
                  <c:v>830.69677166606107</c:v>
                </c:pt>
                <c:pt idx="4">
                  <c:v>1056.160138507222</c:v>
                </c:pt>
                <c:pt idx="5">
                  <c:v>1281.6235053483829</c:v>
                </c:pt>
                <c:pt idx="6">
                  <c:v>1507.0868721895438</c:v>
                </c:pt>
                <c:pt idx="7">
                  <c:v>1732.5502390307047</c:v>
                </c:pt>
                <c:pt idx="8">
                  <c:v>1958.0136058718656</c:v>
                </c:pt>
                <c:pt idx="9">
                  <c:v>2183.4769727130265</c:v>
                </c:pt>
                <c:pt idx="10">
                  <c:v>2408.9403395541876</c:v>
                </c:pt>
                <c:pt idx="11">
                  <c:v>2634.4037063953488</c:v>
                </c:pt>
                <c:pt idx="12">
                  <c:v>2859.8670732365099</c:v>
                </c:pt>
                <c:pt idx="13">
                  <c:v>3085.330440077671</c:v>
                </c:pt>
                <c:pt idx="14">
                  <c:v>3310.7938069188322</c:v>
                </c:pt>
                <c:pt idx="15">
                  <c:v>3536.2571737599933</c:v>
                </c:pt>
                <c:pt idx="16">
                  <c:v>3761.7205406011544</c:v>
                </c:pt>
                <c:pt idx="17">
                  <c:v>3987.1839074423156</c:v>
                </c:pt>
                <c:pt idx="18">
                  <c:v>4212.6472742834767</c:v>
                </c:pt>
                <c:pt idx="19">
                  <c:v>4438.1106411246374</c:v>
                </c:pt>
                <c:pt idx="20">
                  <c:v>4663.574007965798</c:v>
                </c:pt>
                <c:pt idx="21">
                  <c:v>4889.0373748069587</c:v>
                </c:pt>
                <c:pt idx="22">
                  <c:v>5114.5007416481194</c:v>
                </c:pt>
                <c:pt idx="23">
                  <c:v>5339.9641084892801</c:v>
                </c:pt>
                <c:pt idx="24">
                  <c:v>5565.4274753304408</c:v>
                </c:pt>
                <c:pt idx="25">
                  <c:v>5790.8908421716014</c:v>
                </c:pt>
                <c:pt idx="26">
                  <c:v>6016.3542090127621</c:v>
                </c:pt>
                <c:pt idx="27">
                  <c:v>6241.8175758539228</c:v>
                </c:pt>
                <c:pt idx="28">
                  <c:v>6467.2809426950835</c:v>
                </c:pt>
                <c:pt idx="29">
                  <c:v>6692.7443095362441</c:v>
                </c:pt>
                <c:pt idx="30">
                  <c:v>6918.2076763774048</c:v>
                </c:pt>
                <c:pt idx="31">
                  <c:v>7143.6710432185655</c:v>
                </c:pt>
                <c:pt idx="32">
                  <c:v>7369.1344100597262</c:v>
                </c:pt>
                <c:pt idx="33">
                  <c:v>7594.5977769008869</c:v>
                </c:pt>
                <c:pt idx="34">
                  <c:v>7820.0611437420475</c:v>
                </c:pt>
                <c:pt idx="35">
                  <c:v>8045.5245105832082</c:v>
                </c:pt>
                <c:pt idx="36">
                  <c:v>8270.9878774243698</c:v>
                </c:pt>
                <c:pt idx="37">
                  <c:v>8496.4512442655305</c:v>
                </c:pt>
                <c:pt idx="38">
                  <c:v>8721.9146111066912</c:v>
                </c:pt>
                <c:pt idx="39">
                  <c:v>8947.3779779478518</c:v>
                </c:pt>
                <c:pt idx="40">
                  <c:v>9172.8413447890125</c:v>
                </c:pt>
                <c:pt idx="41">
                  <c:v>9398.3047116301732</c:v>
                </c:pt>
                <c:pt idx="42">
                  <c:v>9623.7680784713339</c:v>
                </c:pt>
                <c:pt idx="43">
                  <c:v>9849.2314453125</c:v>
                </c:pt>
              </c:numCache>
            </c:numRef>
          </c:cat>
          <c:val>
            <c:numRef>
              <c:f>'Overall Metrics'!$U$2:$U$45</c:f>
              <c:numCache>
                <c:formatCode>General</c:formatCode>
                <c:ptCount val="44"/>
                <c:pt idx="0">
                  <c:v>7</c:v>
                </c:pt>
                <c:pt idx="1">
                  <c:v>1</c:v>
                </c:pt>
                <c:pt idx="2">
                  <c:v>0</c:v>
                </c:pt>
                <c:pt idx="3">
                  <c:v>8</c:v>
                </c:pt>
                <c:pt idx="4">
                  <c:v>2</c:v>
                </c:pt>
                <c:pt idx="5">
                  <c:v>1</c:v>
                </c:pt>
                <c:pt idx="6">
                  <c:v>0</c:v>
                </c:pt>
                <c:pt idx="7">
                  <c:v>2</c:v>
                </c:pt>
                <c:pt idx="8">
                  <c:v>4</c:v>
                </c:pt>
                <c:pt idx="9">
                  <c:v>1</c:v>
                </c:pt>
                <c:pt idx="10">
                  <c:v>12</c:v>
                </c:pt>
                <c:pt idx="11">
                  <c:v>1</c:v>
                </c:pt>
                <c:pt idx="12">
                  <c:v>15</c:v>
                </c:pt>
                <c:pt idx="13">
                  <c:v>0</c:v>
                </c:pt>
                <c:pt idx="14">
                  <c:v>1</c:v>
                </c:pt>
                <c:pt idx="15">
                  <c:v>2</c:v>
                </c:pt>
                <c:pt idx="16">
                  <c:v>0</c:v>
                </c:pt>
                <c:pt idx="17">
                  <c:v>2</c:v>
                </c:pt>
                <c:pt idx="18">
                  <c:v>0</c:v>
                </c:pt>
                <c:pt idx="19">
                  <c:v>2</c:v>
                </c:pt>
                <c:pt idx="20">
                  <c:v>2</c:v>
                </c:pt>
                <c:pt idx="21">
                  <c:v>2</c:v>
                </c:pt>
                <c:pt idx="22">
                  <c:v>0</c:v>
                </c:pt>
                <c:pt idx="23">
                  <c:v>0</c:v>
                </c:pt>
                <c:pt idx="24">
                  <c:v>1</c:v>
                </c:pt>
                <c:pt idx="25">
                  <c:v>8</c:v>
                </c:pt>
                <c:pt idx="26">
                  <c:v>2</c:v>
                </c:pt>
                <c:pt idx="27">
                  <c:v>1</c:v>
                </c:pt>
                <c:pt idx="28">
                  <c:v>1</c:v>
                </c:pt>
                <c:pt idx="29">
                  <c:v>8</c:v>
                </c:pt>
                <c:pt idx="30">
                  <c:v>0</c:v>
                </c:pt>
                <c:pt idx="31">
                  <c:v>1</c:v>
                </c:pt>
                <c:pt idx="32">
                  <c:v>1</c:v>
                </c:pt>
                <c:pt idx="33">
                  <c:v>2</c:v>
                </c:pt>
                <c:pt idx="34">
                  <c:v>5</c:v>
                </c:pt>
                <c:pt idx="35">
                  <c:v>1</c:v>
                </c:pt>
                <c:pt idx="36">
                  <c:v>0</c:v>
                </c:pt>
                <c:pt idx="37">
                  <c:v>2</c:v>
                </c:pt>
                <c:pt idx="38">
                  <c:v>2</c:v>
                </c:pt>
                <c:pt idx="39">
                  <c:v>3</c:v>
                </c:pt>
                <c:pt idx="40">
                  <c:v>2</c:v>
                </c:pt>
                <c:pt idx="41">
                  <c:v>0</c:v>
                </c:pt>
                <c:pt idx="42">
                  <c:v>1</c:v>
                </c:pt>
                <c:pt idx="43">
                  <c:v>1</c:v>
                </c:pt>
              </c:numCache>
            </c:numRef>
          </c:val>
          <c:extLst>
            <c:ext xmlns:c16="http://schemas.microsoft.com/office/drawing/2014/chart" uri="{C3380CC4-5D6E-409C-BE32-E72D297353CC}">
              <c16:uniqueId val="{00000000-2631-47DD-95BF-C7B7A118645A}"/>
            </c:ext>
          </c:extLst>
        </c:ser>
        <c:dLbls>
          <c:showLegendKey val="0"/>
          <c:showVal val="0"/>
          <c:showCatName val="0"/>
          <c:showSerName val="0"/>
          <c:showPercent val="0"/>
          <c:showBubbleSize val="0"/>
        </c:dLbls>
        <c:gapWidth val="0"/>
        <c:axId val="-1133294352"/>
        <c:axId val="-1133287824"/>
      </c:barChart>
      <c:catAx>
        <c:axId val="-1133294352"/>
        <c:scaling>
          <c:orientation val="minMax"/>
        </c:scaling>
        <c:delete val="1"/>
        <c:axPos val="b"/>
        <c:numFmt formatCode="#,##0.00" sourceLinked="1"/>
        <c:majorTickMark val="out"/>
        <c:minorTickMark val="none"/>
        <c:tickLblPos val="none"/>
        <c:crossAx val="-1133287824"/>
        <c:crosses val="autoZero"/>
        <c:auto val="1"/>
        <c:lblAlgn val="ctr"/>
        <c:lblOffset val="100"/>
        <c:noMultiLvlLbl val="0"/>
      </c:catAx>
      <c:valAx>
        <c:axId val="-1133287824"/>
        <c:scaling>
          <c:orientation val="minMax"/>
        </c:scaling>
        <c:delete val="1"/>
        <c:axPos val="l"/>
        <c:numFmt formatCode="General" sourceLinked="1"/>
        <c:majorTickMark val="out"/>
        <c:minorTickMark val="none"/>
        <c:tickLblPos val="none"/>
        <c:crossAx val="-1133294352"/>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dges" displayName="Edges" ref="A2:N63" totalsRowShown="0" headerRowDxfId="145" dataDxfId="144">
  <autoFilter ref="A2:N63" xr:uid="{00000000-0009-0000-0100-000001000000}"/>
  <tableColumns count="14">
    <tableColumn id="1" xr3:uid="{00000000-0010-0000-0000-000001000000}" name="Vertex 1" dataDxfId="73" dataCellStyle="NodeXL Required"/>
    <tableColumn id="2" xr3:uid="{00000000-0010-0000-0000-000002000000}" name="Vertex 2" dataDxfId="71" dataCellStyle="NodeXL Required"/>
    <tableColumn id="3" xr3:uid="{00000000-0010-0000-0000-000003000000}" name="Color" dataDxfId="72" dataCellStyle="NodeXL Visual Property"/>
    <tableColumn id="4" xr3:uid="{00000000-0010-0000-0000-000004000000}" name="Width" dataDxfId="143" dataCellStyle="NodeXL Visual Property"/>
    <tableColumn id="11" xr3:uid="{00000000-0010-0000-0000-00000B000000}" name="Style" dataDxfId="142" dataCellStyle="NodeXL Visual Property"/>
    <tableColumn id="5" xr3:uid="{00000000-0010-0000-0000-000005000000}" name="Opacity" dataDxfId="141" dataCellStyle="NodeXL Visual Property"/>
    <tableColumn id="6" xr3:uid="{00000000-0010-0000-0000-000006000000}" name="Visibility" dataDxfId="140" dataCellStyle="NodeXL Visual Property"/>
    <tableColumn id="10" xr3:uid="{00000000-0010-0000-0000-00000A000000}" name="Label" dataDxfId="139" dataCellStyle="NodeXL Label"/>
    <tableColumn id="12" xr3:uid="{00000000-0010-0000-0000-00000C000000}" name="Label Text Color" dataDxfId="138" dataCellStyle="NodeXL Label"/>
    <tableColumn id="13" xr3:uid="{00000000-0010-0000-0000-00000D000000}" name="Label Font Size" dataDxfId="137" dataCellStyle="NodeXL Label"/>
    <tableColumn id="14" xr3:uid="{00000000-0010-0000-0000-00000E000000}" name="Reciprocated?" dataDxfId="136" dataCellStyle="NodeXL Graph Metric"/>
    <tableColumn id="7" xr3:uid="{00000000-0010-0000-0000-000007000000}" name="ID" dataDxfId="135" dataCellStyle="NodeXL Do Not Edit"/>
    <tableColumn id="9" xr3:uid="{00000000-0010-0000-0000-000009000000}" name="Dynamic Filter" dataDxfId="134" dataCellStyle="NodeXL Do Not Edit">
      <calculatedColumnFormula xml:space="preserve"> IF(AND(TRUE), TRUE, FALSE)</calculatedColumnFormula>
    </tableColumn>
    <tableColumn id="8" xr3:uid="{00000000-0010-0000-0000-000008000000}" name="Add Your Own Columns Here" dataDxfId="133" dataCellStyle="NodeXL Other Column"/>
  </tableColumns>
  <tableStyleInfo name="NodeXL Table"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Vertices" displayName="Vertices" ref="A2:AM109" totalsRowShown="0" headerRowDxfId="132" dataDxfId="131">
  <autoFilter ref="A2:AM109" xr:uid="{00000000-0009-0000-0100-000002000000}"/>
  <tableColumns count="39">
    <tableColumn id="1" xr3:uid="{00000000-0010-0000-0100-000001000000}" name="Vertex" dataDxfId="130" dataCellStyle="NodeXL Required"/>
    <tableColumn id="2" xr3:uid="{00000000-0010-0000-0100-000002000000}" name="Color" dataDxfId="129" dataCellStyle="NodeXL Visual Property"/>
    <tableColumn id="5" xr3:uid="{00000000-0010-0000-0100-000005000000}" name="Shape" dataDxfId="128" dataCellStyle="NodeXL Visual Property"/>
    <tableColumn id="6" xr3:uid="{00000000-0010-0000-0100-000006000000}" name="Size" dataDxfId="127" dataCellStyle="NodeXL Visual Property"/>
    <tableColumn id="4" xr3:uid="{00000000-0010-0000-0100-000004000000}" name="Opacity" dataDxfId="126" dataCellStyle="NodeXL Visual Property"/>
    <tableColumn id="7" xr3:uid="{00000000-0010-0000-0100-000007000000}" name="Image File" dataDxfId="125" dataCellStyle="NodeXL Visual Property"/>
    <tableColumn id="3" xr3:uid="{00000000-0010-0000-0100-000003000000}" name="Visibility" dataDxfId="124" dataCellStyle="NodeXL Visual Property"/>
    <tableColumn id="10" xr3:uid="{00000000-0010-0000-0100-00000A000000}" name="Label" dataDxfId="70" dataCellStyle="NodeXL Required"/>
    <tableColumn id="16" xr3:uid="{00000000-0010-0000-0100-000010000000}" name="Label Fill Color" dataDxfId="123" dataCellStyle="NodeXL Label"/>
    <tableColumn id="9" xr3:uid="{00000000-0010-0000-0100-000009000000}" name="Label Position" dataDxfId="122" dataCellStyle="NodeXL Label"/>
    <tableColumn id="8" xr3:uid="{00000000-0010-0000-0100-000008000000}" name="Tooltip" dataDxfId="121" dataCellStyle="NodeXL Label"/>
    <tableColumn id="18" xr3:uid="{00000000-0010-0000-0100-000012000000}" name="Layout Order" dataDxfId="120" dataCellStyle="NodeXL Layout"/>
    <tableColumn id="13" xr3:uid="{00000000-0010-0000-0100-00000D000000}" name="X" dataDxfId="119" dataCellStyle="NodeXL Layout"/>
    <tableColumn id="14" xr3:uid="{00000000-0010-0000-0100-00000E000000}" name="Y" dataDxfId="118" dataCellStyle="NodeXL Layout"/>
    <tableColumn id="12" xr3:uid="{00000000-0010-0000-0100-00000C000000}" name="Locked?" dataDxfId="117" dataCellStyle="NodeXL Layout"/>
    <tableColumn id="19" xr3:uid="{00000000-0010-0000-0100-000013000000}" name="Polar R" dataDxfId="116" dataCellStyle="NodeXL Layout"/>
    <tableColumn id="20" xr3:uid="{00000000-0010-0000-0100-000014000000}" name="Polar Angle" dataDxfId="15" dataCellStyle="NodeXL Layout"/>
    <tableColumn id="21" xr3:uid="{00000000-0010-0000-0100-000015000000}" name="Degree" dataDxfId="13" dataCellStyle="NodeXL Graph Metric"/>
    <tableColumn id="22" xr3:uid="{00000000-0010-0000-0100-000016000000}" name="In-Degree" dataDxfId="14" dataCellStyle="NodeXL Graph Metric"/>
    <tableColumn id="23" xr3:uid="{00000000-0010-0000-0100-000017000000}" name="Out-Degree" dataDxfId="10" dataCellStyle="NodeXL Graph Metric"/>
    <tableColumn id="24" xr3:uid="{00000000-0010-0000-0100-000018000000}" name="Betweenness Centrality" dataDxfId="9" dataCellStyle="NodeXL Graph Metric"/>
    <tableColumn id="25" xr3:uid="{00000000-0010-0000-0100-000019000000}" name="Closeness Centrality" dataDxfId="8" dataCellStyle="NodeXL Graph Metric"/>
    <tableColumn id="26" xr3:uid="{00000000-0010-0000-0100-00001A000000}" name="Eigenvector Centrality" dataDxfId="6" dataCellStyle="NodeXL Graph Metric"/>
    <tableColumn id="15" xr3:uid="{00000000-0010-0000-0100-00000F000000}" name="PageRank" dataDxfId="7" dataCellStyle="NodeXL Graph Metric"/>
    <tableColumn id="27" xr3:uid="{00000000-0010-0000-0100-00001B000000}" name="Clustering Coefficient" dataDxfId="11" dataCellStyle="NodeXL Graph Metric"/>
    <tableColumn id="29" xr3:uid="{00000000-0010-0000-0100-00001D000000}" name="Reciprocated Vertex Pair Ratio" dataDxfId="12" dataCellStyle="NodeXL Graph Metric"/>
    <tableColumn id="11" xr3:uid="{00000000-0010-0000-0100-00000B000000}" name="ID" dataDxfId="115" dataCellStyle="NodeXL Do Not Edit"/>
    <tableColumn id="28" xr3:uid="{00000000-0010-0000-0100-00001C000000}" name="Dynamic Filter" dataDxfId="114" dataCellStyle="NodeXL Do Not Edit">
      <calculatedColumnFormula xml:space="preserve"> IF(AND(OR(NOT(ISNUMBER(Vertices[[#This Row],[X]])), Vertices[[#This Row],[X]] &gt;= Misc!$O$2), OR(NOT(ISNUMBER(Vertices[[#This Row],[X]])), Vertices[[#This Row],[X]] &lt;= Misc!$P$2),OR(NOT(ISNUMBER(Vertices[[#This Row],[Y]])), Vertices[[#This Row],[Y]] &gt;= Misc!$O$3), OR(NOT(ISNUMBER(Vertices[[#This Row],[Y]])), Vertices[[#This Row],[Y]] &lt;= Misc!$P$3),TRUE), TRUE, FALSE)</calculatedColumnFormula>
    </tableColumn>
    <tableColumn id="17" xr3:uid="{00000000-0010-0000-0100-000011000000}" name="Add Your Own Columns Here" dataDxfId="26" dataCellStyle="NodeXL Other Column"/>
    <tableColumn id="30" xr3:uid="{46B63F38-6AF9-490E-A88B-48C73F5B5FD6}" name="Top URLs in Tweet by Count" dataDxfId="25" dataCellStyle="NodeXL Graph Metric"/>
    <tableColumn id="31" xr3:uid="{89302B28-BEE1-41BE-8685-CBA714B470B5}" name="Top URLs in Tweet by Salience" dataDxfId="24" dataCellStyle="NodeXL Graph Metric"/>
    <tableColumn id="32" xr3:uid="{A12CD44A-85E9-4E04-A3A8-9F541E56A6CB}" name="Top Domains in Tweet by Count" dataDxfId="23" dataCellStyle="NodeXL Graph Metric"/>
    <tableColumn id="33" xr3:uid="{A5DCFA19-9C70-4077-8FD8-221365884FF3}" name="Top Domains in Tweet by Salience" dataDxfId="22" dataCellStyle="NodeXL Graph Metric"/>
    <tableColumn id="34" xr3:uid="{760841EB-F35D-4E52-8E5F-A9989A3FC858}" name="Top Hashtags in Tweet by Count" dataDxfId="21" dataCellStyle="NodeXL Graph Metric"/>
    <tableColumn id="35" xr3:uid="{52FFC9EF-B196-406C-BCCD-98F9DBAD556B}" name="Top Hashtags in Tweet by Salience" dataDxfId="20" dataCellStyle="NodeXL Graph Metric"/>
    <tableColumn id="36" xr3:uid="{B1BEC3C9-15F3-4911-9AB3-0FDA0096E992}" name="Top Words in Tweet by Count" dataDxfId="19" dataCellStyle="NodeXL Graph Metric"/>
    <tableColumn id="37" xr3:uid="{F102A704-9A28-407E-9469-5D195E7C3F0F}" name="Top Words in Tweet by Salience" dataDxfId="18" dataCellStyle="NodeXL Graph Metric"/>
    <tableColumn id="38" xr3:uid="{543A4E5F-B902-436B-8D4E-B4E93AAAA3E8}" name="Top Word Pairs in Tweet by Count" dataDxfId="17" dataCellStyle="NodeXL Graph Metric"/>
    <tableColumn id="39" xr3:uid="{FF3FB377-B6DC-4276-9369-5175C34DE749}" name="Top Word Pairs in Tweet by Salience" dataDxfId="16" dataCellStyle="NodeXL Graph Metric"/>
  </tableColumns>
  <tableStyleInfo name="NodeXL Table"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Groups" displayName="Groups" ref="A2:AF11" totalsRowShown="0" headerRowDxfId="113">
  <autoFilter ref="A2:AF11" xr:uid="{00000000-0009-0000-0100-000004000000}"/>
  <tableColumns count="32">
    <tableColumn id="1" xr3:uid="{00000000-0010-0000-0200-000001000000}" name="Group" dataDxfId="5" dataCellStyle="NodeXL Required"/>
    <tableColumn id="2" xr3:uid="{00000000-0010-0000-0200-000002000000}" name="Vertex Color" dataDxfId="4" dataCellStyle="NodeXL Visual Property"/>
    <tableColumn id="3" xr3:uid="{00000000-0010-0000-0200-000003000000}" name="Vertex Shape" dataDxfId="3" dataCellStyle="NodeXL Visual Property"/>
    <tableColumn id="22" xr3:uid="{00000000-0010-0000-0200-000016000000}" name="Visibility" dataDxfId="112" dataCellStyle="NodeXL Visual Property"/>
    <tableColumn id="4" xr3:uid="{00000000-0010-0000-0200-000004000000}" name="Collapsed?" dataCellStyle="NodeXL Visual Property"/>
    <tableColumn id="18" xr3:uid="{00000000-0010-0000-0200-000012000000}" name="Label" dataDxfId="111" dataCellStyle="NodeXL Label"/>
    <tableColumn id="20" xr3:uid="{00000000-0010-0000-0200-000014000000}" name="Collapsed X" dataCellStyle="NodeXL Layout"/>
    <tableColumn id="21" xr3:uid="{00000000-0010-0000-0200-000015000000}" name="Collapsed Y" dataCellStyle="NodeXL Layout"/>
    <tableColumn id="6" xr3:uid="{00000000-0010-0000-0200-000006000000}" name="ID" dataDxfId="110" dataCellStyle="NodeXL Do Not Edit"/>
    <tableColumn id="19" xr3:uid="{00000000-0010-0000-0200-000013000000}" name="Collapsed Properties" dataDxfId="109" dataCellStyle="NodeXL Do Not Edit"/>
    <tableColumn id="5" xr3:uid="{00000000-0010-0000-0200-000005000000}" name="Vertices" dataDxfId="108" dataCellStyle="NodeXL Graph Metric"/>
    <tableColumn id="7" xr3:uid="{00000000-0010-0000-0200-000007000000}" name="Unique Edges" dataDxfId="107" dataCellStyle="NodeXL Graph Metric"/>
    <tableColumn id="8" xr3:uid="{00000000-0010-0000-0200-000008000000}" name="Edges With Duplicates" dataDxfId="106" dataCellStyle="NodeXL Graph Metric"/>
    <tableColumn id="9" xr3:uid="{00000000-0010-0000-0200-000009000000}" name="Total Edges" dataDxfId="105" dataCellStyle="NodeXL Graph Metric"/>
    <tableColumn id="10" xr3:uid="{00000000-0010-0000-0200-00000A000000}" name="Self-Loops" dataDxfId="104" dataCellStyle="NodeXL Graph Metric"/>
    <tableColumn id="24" xr3:uid="{00000000-0010-0000-0200-000018000000}" name="Reciprocated Vertex Pair Ratio" dataDxfId="103" dataCellStyle="NodeXL Graph Metric"/>
    <tableColumn id="25" xr3:uid="{00000000-0010-0000-0200-000019000000}" name="Reciprocated Edge Ratio" dataDxfId="102" dataCellStyle="NodeXL Graph Metric"/>
    <tableColumn id="11" xr3:uid="{00000000-0010-0000-0200-00000B000000}" name="Connected Components" dataDxfId="101" dataCellStyle="NodeXL Graph Metric"/>
    <tableColumn id="12" xr3:uid="{00000000-0010-0000-0200-00000C000000}" name="Single-Vertex Connected Components" dataDxfId="100" dataCellStyle="NodeXL Graph Metric"/>
    <tableColumn id="13" xr3:uid="{00000000-0010-0000-0200-00000D000000}" name="Maximum Vertices in a Connected Component" dataDxfId="99" dataCellStyle="NodeXL Graph Metric"/>
    <tableColumn id="14" xr3:uid="{00000000-0010-0000-0200-00000E000000}" name="Maximum Edges in a Connected Component" dataDxfId="98" dataCellStyle="NodeXL Graph Metric"/>
    <tableColumn id="15" xr3:uid="{00000000-0010-0000-0200-00000F000000}" name="Maximum Geodesic Distance (Diameter)" dataDxfId="97" dataCellStyle="NodeXL Graph Metric"/>
    <tableColumn id="16" xr3:uid="{00000000-0010-0000-0200-000010000000}" name="Average Geodesic Distance" dataDxfId="96" dataCellStyle="NodeXL Graph Metric"/>
    <tableColumn id="17" xr3:uid="{00000000-0010-0000-0200-000011000000}" name="Graph Density" dataDxfId="63" dataCellStyle="NodeXL Graph Metric"/>
    <tableColumn id="23" xr3:uid="{C89537A1-89BD-440D-B4A0-5B2AA493BC94}" name="Top URLs in Tweet" dataDxfId="58" dataCellStyle="Normal"/>
    <tableColumn id="26" xr3:uid="{E7E04BFA-66C0-4251-A7DD-29F0F338F3A7}" name="Top Domains in Tweet" dataDxfId="53" dataCellStyle="Normal"/>
    <tableColumn id="27" xr3:uid="{ED876492-2DEF-4AB1-A494-CCCBFE17DFB8}" name="Top Hashtags in Tweet" dataDxfId="48" dataCellStyle="Normal"/>
    <tableColumn id="28" xr3:uid="{D06E0C19-C439-4131-94E7-F8913B12EDBD}" name="Top Words in Tweet" dataDxfId="43" dataCellStyle="Normal"/>
    <tableColumn id="29" xr3:uid="{826DA563-362D-4430-80C3-F8A5F0A1E08D}" name="Top Word Pairs in Tweet" dataDxfId="34" dataCellStyle="Normal"/>
    <tableColumn id="30" xr3:uid="{DD4A69D8-A4B3-4906-A545-5661CFA71C36}" name="Top Replied-To in Tweet" dataDxfId="33" dataCellStyle="Normal"/>
    <tableColumn id="31" xr3:uid="{4A39EC0E-1E93-4807-A800-9197AA29EDF7}" name="Top Mentioned in Tweet" dataDxfId="28" dataCellStyle="Normal"/>
    <tableColumn id="32" xr3:uid="{2BE08520-918C-4D29-970D-184AE7DB877B}" name="Top Tweeters" dataDxfId="27" dataCellStyle="Normal"/>
  </tableColumns>
  <tableStyleInfo name="NodeXL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GroupVertices" displayName="GroupVertices" ref="A1:C58" totalsRowShown="0" headerRowDxfId="95" dataDxfId="94">
  <autoFilter ref="A1:C58" xr:uid="{00000000-0009-0000-0100-000005000000}"/>
  <tableColumns count="3">
    <tableColumn id="1" xr3:uid="{00000000-0010-0000-0300-000001000000}" name="Group" dataDxfId="2" dataCellStyle="Normal"/>
    <tableColumn id="2" xr3:uid="{00000000-0010-0000-0300-000002000000}" name="Vertex" dataDxfId="1" dataCellStyle="Normal"/>
    <tableColumn id="3" xr3:uid="{00000000-0010-0000-0300-000003000000}" name="Vertex ID" dataDxfId="0" dataCellStyle="Normal">
      <calculatedColumnFormula>VLOOKUP(GroupVertices[[#This Row],[Vertex]], Vertices[], MATCH("ID", Vertices[#Headers], 0), FALSE)</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verallMetrics" displayName="OverallMetrics" ref="A1:B26" totalsRowShown="0" dataCellStyle="NodeXL Graph Metric">
  <autoFilter ref="A1:B26" xr:uid="{00000000-0009-0000-0100-000006000000}"/>
  <tableColumns count="2">
    <tableColumn id="1" xr3:uid="{00000000-0010-0000-0400-000001000000}" name="Graph Metric" dataDxfId="69" dataCellStyle="NodeXL Graph Metric"/>
    <tableColumn id="2" xr3:uid="{00000000-0010-0000-0400-000002000000}" name="Value" dataDxfId="68" dataCellStyle="NodeXL Graph Metric"/>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HistogramBins" displayName="HistogramBins" ref="D1:U45" totalsRowShown="0">
  <autoFilter ref="D1:U45" xr:uid="{00000000-0009-0000-0100-000003000000}"/>
  <tableColumns count="18">
    <tableColumn id="1" xr3:uid="{00000000-0010-0000-0500-000001000000}" name="Degree Bin" dataDxfId="93"/>
    <tableColumn id="2" xr3:uid="{00000000-0010-0000-0500-000002000000}" name="Degree Frequency" dataDxfId="92">
      <calculatedColumnFormula>COUNTIF(Vertices[Degree], "&gt;= " &amp; D2) - COUNTIF(Vertices[Degree], "&gt;=" &amp; D3)</calculatedColumnFormula>
    </tableColumn>
    <tableColumn id="3" xr3:uid="{00000000-0010-0000-0500-000003000000}" name="In-Degree Bin" dataDxfId="91"/>
    <tableColumn id="4" xr3:uid="{00000000-0010-0000-0500-000004000000}" name="In-Degree Frequency" dataDxfId="90">
      <calculatedColumnFormula>COUNTIF(Vertices[In-Degree], "&gt;= " &amp; F2) - COUNTIF(Vertices[In-Degree], "&gt;=" &amp; F3)</calculatedColumnFormula>
    </tableColumn>
    <tableColumn id="5" xr3:uid="{00000000-0010-0000-0500-000005000000}" name="Out-Degree Bin" dataDxfId="89"/>
    <tableColumn id="6" xr3:uid="{00000000-0010-0000-0500-000006000000}" name="Out-Degree Frequency" dataDxfId="88">
      <calculatedColumnFormula>COUNTIF(Vertices[Out-Degree], "&gt;= " &amp; H2) - COUNTIF(Vertices[Out-Degree], "&gt;=" &amp; H3)</calculatedColumnFormula>
    </tableColumn>
    <tableColumn id="7" xr3:uid="{00000000-0010-0000-0500-000007000000}" name="Betweenness Centrality Bin" dataDxfId="87"/>
    <tableColumn id="8" xr3:uid="{00000000-0010-0000-0500-000008000000}" name="Betweenness Centrality Frequency" dataDxfId="86">
      <calculatedColumnFormula>COUNTIF(Vertices[Betweenness Centrality], "&gt;= " &amp; J2) - COUNTIF(Vertices[Betweenness Centrality], "&gt;=" &amp; J3)</calculatedColumnFormula>
    </tableColumn>
    <tableColumn id="9" xr3:uid="{00000000-0010-0000-0500-000009000000}" name="Closeness Centrality Bin" dataDxfId="85"/>
    <tableColumn id="10" xr3:uid="{00000000-0010-0000-0500-00000A000000}" name="Closeness Centrality Frequency" dataDxfId="84">
      <calculatedColumnFormula>COUNTIF(Vertices[Closeness Centrality], "&gt;= " &amp; L2) - COUNTIF(Vertices[Closeness Centrality], "&gt;=" &amp; L3)</calculatedColumnFormula>
    </tableColumn>
    <tableColumn id="11" xr3:uid="{00000000-0010-0000-0500-00000B000000}" name="Eigenvector Centrality Bin" dataDxfId="83"/>
    <tableColumn id="12" xr3:uid="{00000000-0010-0000-0500-00000C000000}" name="Eigenvector Centrality Frequency" dataDxfId="82">
      <calculatedColumnFormula>COUNTIF(Vertices[Eigenvector Centrality], "&gt;= " &amp; N2) - COUNTIF(Vertices[Eigenvector Centrality], "&gt;=" &amp; N3)</calculatedColumnFormula>
    </tableColumn>
    <tableColumn id="18" xr3:uid="{00000000-0010-0000-0500-000012000000}" name="PageRank Bin" dataDxfId="81"/>
    <tableColumn id="17" xr3:uid="{00000000-0010-0000-0500-000011000000}" name="PageRank Frequency" dataDxfId="80">
      <calculatedColumnFormula>COUNTIF(Vertices[Eigenvector Centrality], "&gt;= " &amp; P2) - COUNTIF(Vertices[Eigenvector Centrality], "&gt;=" &amp; P3)</calculatedColumnFormula>
    </tableColumn>
    <tableColumn id="13" xr3:uid="{00000000-0010-0000-0500-00000D000000}" name="Clustering Coefficient Bin" dataDxfId="79"/>
    <tableColumn id="14" xr3:uid="{00000000-0010-0000-0500-00000E000000}" name="Clustering Coefficient Frequency" dataDxfId="78">
      <calculatedColumnFormula>COUNTIF(Vertices[Clustering Coefficient], "&gt;= " &amp; R2) - COUNTIF(Vertices[Clustering Coefficient], "&gt;=" &amp; R3)</calculatedColumnFormula>
    </tableColumn>
    <tableColumn id="15" xr3:uid="{00000000-0010-0000-0500-00000F000000}" name="Dynamic Filter Bin" dataDxfId="77"/>
    <tableColumn id="16" xr3:uid="{00000000-0010-0000-0500-000010000000}" name="Dynamic Filter Frequency" dataDxfId="76">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6000000}" name="HistogramProperties" displayName="HistogramProperties" ref="W1:X4" totalsRowShown="0">
  <autoFilter ref="W1:X4" xr:uid="{00000000-0009-0000-0100-00000F000000}"/>
  <tableColumns count="2">
    <tableColumn id="1" xr3:uid="{00000000-0010-0000-0600-000001000000}" name="Histogram Property"/>
    <tableColumn id="2" xr3:uid="{00000000-0010-0000-0600-000002000000}" name="Value"/>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OverallReadabilityMetrics" displayName="OverallReadabilityMetrics" ref="A29:B30" insertRow="1" totalsRowShown="0" dataCellStyle="NodeXL Graph Metric">
  <autoFilter ref="A29:B30" xr:uid="{00000000-0009-0000-0100-000009000000}"/>
  <tableColumns count="2">
    <tableColumn id="1" xr3:uid="{00000000-0010-0000-0700-000001000000}" name="Readability Metric" dataCellStyle="NodeXL Graph Metric"/>
    <tableColumn id="2" xr3:uid="{00000000-0010-0000-0700-000002000000}"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8000000}" name="PerWorkbookSettings" displayName="PerWorkbookSettings" ref="J1:K9" totalsRowShown="0" headerRowDxfId="75">
  <autoFilter ref="J1:K9" xr:uid="{00000000-0009-0000-0100-000007000000}"/>
  <tableColumns count="2">
    <tableColumn id="1" xr3:uid="{00000000-0010-0000-0800-000001000000}" name="Per-Workbook Setting"/>
    <tableColumn id="2" xr3:uid="{00000000-0010-0000-0800-000002000000}" name="Value"/>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9000000}" name="DynamicFilterSettings" displayName="DynamicFilterSettings" ref="M1:P3" totalsRowShown="0" headerRowDxfId="74">
  <autoFilter ref="M1:P3" xr:uid="{00000000-0009-0000-0100-000008000000}"/>
  <tableColumns count="4">
    <tableColumn id="1" xr3:uid="{00000000-0010-0000-0900-000001000000}" name="Table Name"/>
    <tableColumn id="2" xr3:uid="{00000000-0010-0000-0900-000002000000}" name="Column Name"/>
    <tableColumn id="3" xr3:uid="{00000000-0010-0000-0900-000003000000}" name="Selected Minimum"/>
    <tableColumn id="4" xr3:uid="{00000000-0010-0000-0900-000004000000}" name="Selected Maximum"/>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61C8069-4837-48D8-BD4C-759BCE83661B}" name="TwitterSearchNetworkTopItems_1" displayName="TwitterSearchNetworkTopItems_1" ref="A1:B2" totalsRowShown="0" headerRowDxfId="66" dataDxfId="67" dataCellStyle="Normal">
  <autoFilter ref="A1:B2" xr:uid="{A61C8069-4837-48D8-BD4C-759BCE83661B}"/>
  <tableColumns count="2">
    <tableColumn id="1" xr3:uid="{89D146D4-7D75-4D60-8673-495F2B3CD1E5}" name="Top URLs in Tweet in Entire Graph" dataDxfId="65" dataCellStyle="Normal"/>
    <tableColumn id="2" xr3:uid="{1C527E6A-B620-402E-97FB-F9A66BBD7D4C}" name="Entire Graph Count" dataDxfId="64" dataCellStyle="Normal"/>
  </tableColumns>
  <tableStyleInfo name="NodeXL Table"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6B4D38-6CB3-4757-AB41-A29CBF074030}" name="TwitterSearchNetworkTopItems_2" displayName="TwitterSearchNetworkTopItems_2" ref="A4:B5" totalsRowShown="0" headerRowDxfId="61" dataDxfId="62" dataCellStyle="Normal">
  <autoFilter ref="A4:B5" xr:uid="{006B4D38-6CB3-4757-AB41-A29CBF074030}"/>
  <tableColumns count="2">
    <tableColumn id="1" xr3:uid="{51DD51C6-7528-4C3A-8422-9310AE450C1A}" name="Top Domains in Tweet in Entire Graph" dataDxfId="60" dataCellStyle="Normal"/>
    <tableColumn id="2" xr3:uid="{1F779801-4B15-4C58-AC43-E04403ADB7BF}" name="Entire Graph Count" dataDxfId="59" dataCellStyle="Normal"/>
  </tableColumns>
  <tableStyleInfo name="NodeXL Table"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5B6B0FC-B8DB-47AE-BF84-BD3546F469B0}" name="TwitterSearchNetworkTopItems_3" displayName="TwitterSearchNetworkTopItems_3" ref="A7:B8" totalsRowShown="0" headerRowDxfId="56" dataDxfId="57" dataCellStyle="Normal">
  <autoFilter ref="A7:B8" xr:uid="{D5B6B0FC-B8DB-47AE-BF84-BD3546F469B0}"/>
  <tableColumns count="2">
    <tableColumn id="1" xr3:uid="{D16EF963-883E-4F61-ABA7-6ABA376A5412}" name="Top Hashtags in Tweet in Entire Graph" dataDxfId="55" dataCellStyle="Normal"/>
    <tableColumn id="2" xr3:uid="{039E3CDE-9048-48CD-9091-2151B4392E3F}" name="Entire Graph Count" dataDxfId="54" dataCellStyle="Normal"/>
  </tableColumns>
  <tableStyleInfo name="NodeXL Table"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781F60F-3614-474F-8598-738E70444867}" name="TwitterSearchNetworkTopItems_4" displayName="TwitterSearchNetworkTopItems_4" ref="A10:B15" totalsRowShown="0" headerRowDxfId="51" dataDxfId="52" dataCellStyle="Normal">
  <autoFilter ref="A10:B15" xr:uid="{2781F60F-3614-474F-8598-738E70444867}"/>
  <tableColumns count="2">
    <tableColumn id="1" xr3:uid="{DA5397E9-8AFB-4D86-ABC5-2B44ABDFD7CB}" name="Top Words in Tweet in Entire Graph" dataDxfId="50" dataCellStyle="Normal"/>
    <tableColumn id="2" xr3:uid="{BB4E5CFD-5CDC-4239-9968-ACCB537F6B05}" name="Entire Graph Count" dataDxfId="49" dataCellStyle="Normal"/>
  </tableColumns>
  <tableStyleInfo name="NodeXL Table"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6F87205-7E60-41D6-ADF9-3EB47DA3FDAD}" name="TwitterSearchNetworkTopItems_5" displayName="TwitterSearchNetworkTopItems_5" ref="A18:B19" totalsRowShown="0" headerRowDxfId="46" dataDxfId="47" dataCellStyle="Normal">
  <autoFilter ref="A18:B19" xr:uid="{86F87205-7E60-41D6-ADF9-3EB47DA3FDAD}"/>
  <tableColumns count="2">
    <tableColumn id="1" xr3:uid="{FB715323-BCFC-4A4E-ABE4-70DC7359EC01}" name="Top Word Pairs in Tweet in Entire Graph" dataDxfId="45" dataCellStyle="Normal"/>
    <tableColumn id="2" xr3:uid="{9EAAF877-396E-41B7-B4C9-8BCFA8F2525C}" name="Entire Graph Count" dataDxfId="44" dataCellStyle="Normal"/>
  </tableColumns>
  <tableStyleInfo name="NodeXL Table"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5BDE082-69CC-4314-927A-799E7D6242F5}" name="TwitterSearchNetworkTopItems_6" displayName="TwitterSearchNetworkTopItems_6" ref="A21:B22" totalsRowShown="0" headerRowDxfId="41" dataDxfId="42" dataCellStyle="Normal">
  <autoFilter ref="A21:B22" xr:uid="{05BDE082-69CC-4314-927A-799E7D6242F5}"/>
  <tableColumns count="2">
    <tableColumn id="1" xr3:uid="{0C4F0C04-4F9E-4590-B80C-C76F6B9D994F}" name="Top Replied-To in Entire Graph" dataDxfId="40" dataCellStyle="Normal"/>
    <tableColumn id="2" xr3:uid="{C8731D91-DE87-4A90-ABAB-7B5D7FBF406D}" name="Entire Graph Count" dataDxfId="39" dataCellStyle="Normal"/>
  </tableColumns>
  <tableStyleInfo name="NodeXL Table"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78AFD-84C9-4A69-90C7-C2F96219D7F9}" name="TwitterSearchNetworkTopItems_7" displayName="TwitterSearchNetworkTopItems_7" ref="A24:B25" totalsRowShown="0" headerRowDxfId="37" dataDxfId="38" dataCellStyle="Normal">
  <autoFilter ref="A24:B25" xr:uid="{B6B78AFD-84C9-4A69-90C7-C2F96219D7F9}"/>
  <tableColumns count="2">
    <tableColumn id="1" xr3:uid="{14AF7D91-8E92-4122-ADAF-8EC97715A150}" name="Top Mentioned in Entire Graph" dataDxfId="36" dataCellStyle="Normal"/>
    <tableColumn id="2" xr3:uid="{2DFBBAB3-ACB7-45C4-AAFC-53750CDAB136}" name="Entire Graph Count" dataDxfId="35" dataCellStyle="Normal"/>
  </tableColumns>
  <tableStyleInfo name="NodeXL Tab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5B71B27-C3E3-40F7-AC42-E05E55ABD178}" name="TwitterSearchNetworkTopItems_8" displayName="TwitterSearchNetworkTopItems_8" ref="A27:B28" totalsRowShown="0" headerRowDxfId="31" dataDxfId="32" dataCellStyle="Normal">
  <autoFilter ref="A27:B28" xr:uid="{35B71B27-C3E3-40F7-AC42-E05E55ABD178}"/>
  <tableColumns count="2">
    <tableColumn id="1" xr3:uid="{52BF2433-473E-44B3-B21B-6B82AD3748D8}" name="Top Tweeters in Entire Graph" dataDxfId="30" dataCellStyle="Normal"/>
    <tableColumn id="2" xr3:uid="{B16068DA-D354-4401-83F8-4B614EDE97B4}" name="Entire Graph Count" dataDxfId="29" dataCellStyle="Normal"/>
  </tableColumns>
  <tableStyleInfo name="NodeXL 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63"/>
  <sheetViews>
    <sheetView workbookViewId="0">
      <pane xSplit="2" ySplit="2" topLeftCell="C41" activePane="bottomRight" state="frozen"/>
      <selection pane="topRight" activeCell="C1" sqref="C1"/>
      <selection pane="bottomLeft" activeCell="A3" sqref="A3"/>
      <selection pane="bottomRight" activeCell="A64" sqref="A64:XFD64"/>
    </sheetView>
  </sheetViews>
  <sheetFormatPr defaultRowHeight="14.25" x14ac:dyDescent="0.45"/>
  <cols>
    <col min="1" max="2" width="10.3984375" style="1" customWidth="1"/>
    <col min="3" max="3" width="7.86328125" style="3" bestFit="1" customWidth="1"/>
    <col min="4" max="4" width="8.73046875" style="2" bestFit="1" customWidth="1"/>
    <col min="5" max="5" width="7.73046875" style="2" bestFit="1" customWidth="1"/>
    <col min="6" max="6" width="9.86328125" style="2" bestFit="1" customWidth="1"/>
    <col min="7" max="7" width="11" style="3" bestFit="1" customWidth="1"/>
    <col min="8" max="8" width="8" style="1" bestFit="1" customWidth="1"/>
    <col min="9" max="9" width="12.265625" style="3" bestFit="1" customWidth="1"/>
    <col min="10" max="10" width="12.3984375" style="3" bestFit="1" customWidth="1"/>
    <col min="11" max="11" width="15.59765625" style="3" customWidth="1"/>
    <col min="12" max="12" width="11" hidden="1" customWidth="1"/>
    <col min="13" max="13" width="10.86328125" hidden="1" customWidth="1"/>
    <col min="14" max="14" width="16" bestFit="1" customWidth="1"/>
  </cols>
  <sheetData>
    <row r="1" spans="1:14" x14ac:dyDescent="0.45">
      <c r="C1" s="18" t="s">
        <v>40</v>
      </c>
      <c r="D1" s="19"/>
      <c r="E1" s="19"/>
      <c r="F1" s="19"/>
      <c r="G1" s="18"/>
      <c r="H1" s="16" t="s">
        <v>44</v>
      </c>
      <c r="I1" s="64"/>
      <c r="J1" s="64"/>
      <c r="K1" s="35" t="s">
        <v>43</v>
      </c>
      <c r="L1" s="20" t="s">
        <v>41</v>
      </c>
      <c r="M1" s="20"/>
      <c r="N1" s="17" t="s">
        <v>42</v>
      </c>
    </row>
    <row r="2" spans="1:14" ht="30" customHeight="1" x14ac:dyDescent="0.45">
      <c r="A2" s="11" t="s">
        <v>0</v>
      </c>
      <c r="B2" s="11" t="s">
        <v>1</v>
      </c>
      <c r="C2" s="13" t="s">
        <v>2</v>
      </c>
      <c r="D2" s="13" t="s">
        <v>3</v>
      </c>
      <c r="E2" s="13" t="s">
        <v>130</v>
      </c>
      <c r="F2" s="13" t="s">
        <v>4</v>
      </c>
      <c r="G2" s="13" t="s">
        <v>11</v>
      </c>
      <c r="H2" s="11" t="s">
        <v>47</v>
      </c>
      <c r="I2" s="13" t="s">
        <v>160</v>
      </c>
      <c r="J2" s="13" t="s">
        <v>161</v>
      </c>
      <c r="K2" s="13" t="s">
        <v>165</v>
      </c>
      <c r="L2" s="13" t="s">
        <v>12</v>
      </c>
      <c r="M2" s="13" t="s">
        <v>39</v>
      </c>
      <c r="N2" s="13" t="s">
        <v>26</v>
      </c>
    </row>
    <row r="3" spans="1:14" ht="15" customHeight="1" x14ac:dyDescent="0.45">
      <c r="A3" s="80" t="s">
        <v>176</v>
      </c>
      <c r="B3" s="80" t="s">
        <v>188</v>
      </c>
      <c r="C3" s="53"/>
      <c r="D3" s="54"/>
      <c r="E3" s="65"/>
      <c r="F3" s="55"/>
      <c r="G3" s="53"/>
      <c r="H3" s="57"/>
      <c r="I3" s="56"/>
      <c r="J3" s="56"/>
      <c r="K3" s="67"/>
      <c r="L3" s="62">
        <v>3</v>
      </c>
      <c r="M3" s="62" t="b">
        <f t="shared" ref="M3:M34" si="0" xml:space="preserve"> IF(AND(TRUE), TRUE, FALSE)</f>
        <v>1</v>
      </c>
      <c r="N3" s="63"/>
    </row>
    <row r="4" spans="1:14" ht="15" customHeight="1" x14ac:dyDescent="0.45">
      <c r="A4" s="80" t="s">
        <v>177</v>
      </c>
      <c r="B4" s="80" t="s">
        <v>188</v>
      </c>
      <c r="C4" s="53"/>
      <c r="D4" s="54"/>
      <c r="E4" s="53"/>
      <c r="F4" s="55"/>
      <c r="G4" s="53"/>
      <c r="H4" s="57"/>
      <c r="I4" s="56"/>
      <c r="J4" s="56"/>
      <c r="K4" s="67"/>
      <c r="L4" s="62">
        <v>4</v>
      </c>
      <c r="M4" s="62" t="b">
        <f t="shared" si="0"/>
        <v>1</v>
      </c>
      <c r="N4" s="63"/>
    </row>
    <row r="5" spans="1:14" x14ac:dyDescent="0.45">
      <c r="A5" s="80" t="s">
        <v>178</v>
      </c>
      <c r="B5" s="80" t="s">
        <v>189</v>
      </c>
      <c r="C5" s="53"/>
      <c r="D5" s="54"/>
      <c r="E5" s="53"/>
      <c r="F5" s="55"/>
      <c r="G5" s="53"/>
      <c r="H5" s="57"/>
      <c r="I5" s="56"/>
      <c r="J5" s="56"/>
      <c r="K5" s="67"/>
      <c r="L5" s="62">
        <v>5</v>
      </c>
      <c r="M5" s="62" t="b">
        <f t="shared" si="0"/>
        <v>1</v>
      </c>
      <c r="N5" s="63"/>
    </row>
    <row r="6" spans="1:14" x14ac:dyDescent="0.45">
      <c r="A6" s="80" t="s">
        <v>176</v>
      </c>
      <c r="B6" s="80" t="s">
        <v>190</v>
      </c>
      <c r="C6" s="53"/>
      <c r="D6" s="54"/>
      <c r="E6" s="53"/>
      <c r="F6" s="55"/>
      <c r="G6" s="53"/>
      <c r="H6" s="57"/>
      <c r="I6" s="56"/>
      <c r="J6" s="56"/>
      <c r="K6" s="67"/>
      <c r="L6" s="62">
        <v>6</v>
      </c>
      <c r="M6" s="62" t="b">
        <f t="shared" si="0"/>
        <v>1</v>
      </c>
      <c r="N6" s="63"/>
    </row>
    <row r="7" spans="1:14" x14ac:dyDescent="0.45">
      <c r="A7" s="80" t="s">
        <v>176</v>
      </c>
      <c r="B7" s="80" t="s">
        <v>191</v>
      </c>
      <c r="C7" s="53"/>
      <c r="D7" s="54"/>
      <c r="E7" s="53"/>
      <c r="F7" s="55"/>
      <c r="G7" s="53"/>
      <c r="H7" s="57"/>
      <c r="I7" s="56"/>
      <c r="J7" s="56"/>
      <c r="K7" s="67"/>
      <c r="L7" s="62">
        <v>7</v>
      </c>
      <c r="M7" s="62" t="b">
        <f t="shared" si="0"/>
        <v>1</v>
      </c>
      <c r="N7" s="63"/>
    </row>
    <row r="8" spans="1:14" x14ac:dyDescent="0.45">
      <c r="A8" s="80" t="s">
        <v>177</v>
      </c>
      <c r="B8" s="80" t="s">
        <v>191</v>
      </c>
      <c r="C8" s="53"/>
      <c r="D8" s="54"/>
      <c r="E8" s="53"/>
      <c r="F8" s="55"/>
      <c r="G8" s="53"/>
      <c r="H8" s="57"/>
      <c r="I8" s="56"/>
      <c r="J8" s="56"/>
      <c r="K8" s="67"/>
      <c r="L8" s="62">
        <v>8</v>
      </c>
      <c r="M8" s="62" t="b">
        <f t="shared" si="0"/>
        <v>1</v>
      </c>
      <c r="N8" s="63"/>
    </row>
    <row r="9" spans="1:14" x14ac:dyDescent="0.45">
      <c r="A9" s="80" t="s">
        <v>179</v>
      </c>
      <c r="B9" s="80" t="s">
        <v>192</v>
      </c>
      <c r="C9" s="53"/>
      <c r="D9" s="54"/>
      <c r="E9" s="53"/>
      <c r="F9" s="55"/>
      <c r="G9" s="53"/>
      <c r="H9" s="57"/>
      <c r="I9" s="56"/>
      <c r="J9" s="56"/>
      <c r="K9" s="67"/>
      <c r="L9" s="62">
        <v>9</v>
      </c>
      <c r="M9" s="62" t="b">
        <f t="shared" si="0"/>
        <v>1</v>
      </c>
      <c r="N9" s="63"/>
    </row>
    <row r="10" spans="1:14" x14ac:dyDescent="0.45">
      <c r="A10" s="80" t="s">
        <v>177</v>
      </c>
      <c r="B10" s="80" t="s">
        <v>193</v>
      </c>
      <c r="C10" s="53"/>
      <c r="D10" s="54"/>
      <c r="E10" s="53"/>
      <c r="F10" s="55"/>
      <c r="G10" s="53"/>
      <c r="H10" s="57"/>
      <c r="I10" s="56"/>
      <c r="J10" s="56"/>
      <c r="K10" s="67"/>
      <c r="L10" s="62">
        <v>10</v>
      </c>
      <c r="M10" s="62" t="b">
        <f t="shared" si="0"/>
        <v>1</v>
      </c>
      <c r="N10" s="63"/>
    </row>
    <row r="11" spans="1:14" x14ac:dyDescent="0.45">
      <c r="A11" s="80" t="s">
        <v>180</v>
      </c>
      <c r="B11" s="80" t="s">
        <v>194</v>
      </c>
      <c r="C11" s="53"/>
      <c r="D11" s="54"/>
      <c r="E11" s="53"/>
      <c r="F11" s="55"/>
      <c r="G11" s="53"/>
      <c r="H11" s="57"/>
      <c r="I11" s="56"/>
      <c r="J11" s="56"/>
      <c r="K11" s="67"/>
      <c r="L11" s="62">
        <v>11</v>
      </c>
      <c r="M11" s="62" t="b">
        <f t="shared" si="0"/>
        <v>1</v>
      </c>
      <c r="N11" s="63"/>
    </row>
    <row r="12" spans="1:14" x14ac:dyDescent="0.45">
      <c r="A12" s="80" t="s">
        <v>180</v>
      </c>
      <c r="B12" s="80" t="s">
        <v>195</v>
      </c>
      <c r="C12" s="53"/>
      <c r="D12" s="54"/>
      <c r="E12" s="53"/>
      <c r="F12" s="55"/>
      <c r="G12" s="53"/>
      <c r="H12" s="57"/>
      <c r="I12" s="56"/>
      <c r="J12" s="56"/>
      <c r="K12" s="67"/>
      <c r="L12" s="62">
        <v>12</v>
      </c>
      <c r="M12" s="62" t="b">
        <f t="shared" si="0"/>
        <v>1</v>
      </c>
      <c r="N12" s="63"/>
    </row>
    <row r="13" spans="1:14" x14ac:dyDescent="0.45">
      <c r="A13" s="80" t="s">
        <v>176</v>
      </c>
      <c r="B13" s="80" t="s">
        <v>196</v>
      </c>
      <c r="C13" s="53"/>
      <c r="D13" s="54"/>
      <c r="E13" s="53"/>
      <c r="F13" s="55"/>
      <c r="G13" s="53"/>
      <c r="H13" s="57"/>
      <c r="I13" s="56"/>
      <c r="J13" s="56"/>
      <c r="K13" s="67"/>
      <c r="L13" s="62">
        <v>13</v>
      </c>
      <c r="M13" s="62" t="b">
        <f t="shared" si="0"/>
        <v>1</v>
      </c>
      <c r="N13" s="63"/>
    </row>
    <row r="14" spans="1:14" x14ac:dyDescent="0.45">
      <c r="A14" s="80" t="s">
        <v>180</v>
      </c>
      <c r="B14" s="80" t="s">
        <v>197</v>
      </c>
      <c r="C14" s="53"/>
      <c r="D14" s="54"/>
      <c r="E14" s="53"/>
      <c r="F14" s="55"/>
      <c r="G14" s="53"/>
      <c r="H14" s="57"/>
      <c r="I14" s="56"/>
      <c r="J14" s="56"/>
      <c r="K14" s="67"/>
      <c r="L14" s="62">
        <v>14</v>
      </c>
      <c r="M14" s="62" t="b">
        <f t="shared" si="0"/>
        <v>1</v>
      </c>
      <c r="N14" s="63"/>
    </row>
    <row r="15" spans="1:14" x14ac:dyDescent="0.45">
      <c r="A15" s="80" t="s">
        <v>176</v>
      </c>
      <c r="B15" s="80" t="s">
        <v>198</v>
      </c>
      <c r="C15" s="53"/>
      <c r="D15" s="54"/>
      <c r="E15" s="53"/>
      <c r="F15" s="55"/>
      <c r="G15" s="53"/>
      <c r="H15" s="57"/>
      <c r="I15" s="56"/>
      <c r="J15" s="56"/>
      <c r="K15" s="67"/>
      <c r="L15" s="62">
        <v>15</v>
      </c>
      <c r="M15" s="62" t="b">
        <f t="shared" si="0"/>
        <v>1</v>
      </c>
      <c r="N15" s="63"/>
    </row>
    <row r="16" spans="1:14" x14ac:dyDescent="0.45">
      <c r="A16" s="80" t="s">
        <v>176</v>
      </c>
      <c r="B16" s="80" t="s">
        <v>199</v>
      </c>
      <c r="C16" s="53"/>
      <c r="D16" s="54"/>
      <c r="E16" s="53"/>
      <c r="F16" s="55"/>
      <c r="G16" s="53"/>
      <c r="H16" s="57"/>
      <c r="I16" s="56"/>
      <c r="J16" s="56"/>
      <c r="K16" s="67"/>
      <c r="L16" s="62">
        <v>16</v>
      </c>
      <c r="M16" s="62" t="b">
        <f t="shared" si="0"/>
        <v>1</v>
      </c>
      <c r="N16" s="63"/>
    </row>
    <row r="17" spans="1:14" x14ac:dyDescent="0.45">
      <c r="A17" s="80" t="s">
        <v>181</v>
      </c>
      <c r="B17" s="80" t="s">
        <v>200</v>
      </c>
      <c r="C17" s="53"/>
      <c r="D17" s="54"/>
      <c r="E17" s="53"/>
      <c r="F17" s="55"/>
      <c r="G17" s="53"/>
      <c r="H17" s="57"/>
      <c r="I17" s="56"/>
      <c r="J17" s="56"/>
      <c r="K17" s="67"/>
      <c r="L17" s="62">
        <v>17</v>
      </c>
      <c r="M17" s="62" t="b">
        <f t="shared" si="0"/>
        <v>1</v>
      </c>
      <c r="N17" s="63"/>
    </row>
    <row r="18" spans="1:14" x14ac:dyDescent="0.45">
      <c r="A18" s="80" t="s">
        <v>182</v>
      </c>
      <c r="B18" s="80" t="s">
        <v>201</v>
      </c>
      <c r="C18" s="53"/>
      <c r="D18" s="54"/>
      <c r="E18" s="53"/>
      <c r="F18" s="55"/>
      <c r="G18" s="53"/>
      <c r="H18" s="57"/>
      <c r="I18" s="56"/>
      <c r="J18" s="56"/>
      <c r="K18" s="67"/>
      <c r="L18" s="62">
        <v>18</v>
      </c>
      <c r="M18" s="62" t="b">
        <f t="shared" si="0"/>
        <v>1</v>
      </c>
      <c r="N18" s="63"/>
    </row>
    <row r="19" spans="1:14" x14ac:dyDescent="0.45">
      <c r="A19" s="80" t="s">
        <v>176</v>
      </c>
      <c r="B19" s="80" t="s">
        <v>202</v>
      </c>
      <c r="C19" s="53"/>
      <c r="D19" s="54"/>
      <c r="E19" s="53"/>
      <c r="F19" s="55"/>
      <c r="G19" s="53"/>
      <c r="H19" s="57"/>
      <c r="I19" s="56"/>
      <c r="J19" s="56"/>
      <c r="K19" s="67"/>
      <c r="L19" s="62">
        <v>19</v>
      </c>
      <c r="M19" s="62" t="b">
        <f t="shared" si="0"/>
        <v>1</v>
      </c>
      <c r="N19" s="63"/>
    </row>
    <row r="20" spans="1:14" x14ac:dyDescent="0.45">
      <c r="A20" s="80" t="s">
        <v>176</v>
      </c>
      <c r="B20" s="80" t="s">
        <v>203</v>
      </c>
      <c r="C20" s="53"/>
      <c r="D20" s="54"/>
      <c r="E20" s="53"/>
      <c r="F20" s="55"/>
      <c r="G20" s="53"/>
      <c r="H20" s="57"/>
      <c r="I20" s="56"/>
      <c r="J20" s="56"/>
      <c r="K20" s="67"/>
      <c r="L20" s="62">
        <v>20</v>
      </c>
      <c r="M20" s="62" t="b">
        <f t="shared" si="0"/>
        <v>1</v>
      </c>
      <c r="N20" s="63"/>
    </row>
    <row r="21" spans="1:14" x14ac:dyDescent="0.45">
      <c r="A21" s="80" t="s">
        <v>180</v>
      </c>
      <c r="B21" s="80" t="s">
        <v>204</v>
      </c>
      <c r="C21" s="53"/>
      <c r="D21" s="54"/>
      <c r="E21" s="53"/>
      <c r="F21" s="55"/>
      <c r="G21" s="53"/>
      <c r="H21" s="57"/>
      <c r="I21" s="56"/>
      <c r="J21" s="56"/>
      <c r="K21" s="67"/>
      <c r="L21" s="62">
        <v>21</v>
      </c>
      <c r="M21" s="62" t="b">
        <f t="shared" si="0"/>
        <v>1</v>
      </c>
      <c r="N21" s="63"/>
    </row>
    <row r="22" spans="1:14" x14ac:dyDescent="0.45">
      <c r="A22" s="80" t="s">
        <v>176</v>
      </c>
      <c r="B22" s="80" t="s">
        <v>205</v>
      </c>
      <c r="C22" s="53"/>
      <c r="D22" s="54"/>
      <c r="E22" s="53"/>
      <c r="F22" s="55"/>
      <c r="G22" s="53"/>
      <c r="H22" s="57"/>
      <c r="I22" s="56"/>
      <c r="J22" s="56"/>
      <c r="K22" s="67"/>
      <c r="L22" s="62">
        <v>22</v>
      </c>
      <c r="M22" s="62" t="b">
        <f t="shared" si="0"/>
        <v>1</v>
      </c>
      <c r="N22" s="63"/>
    </row>
    <row r="23" spans="1:14" x14ac:dyDescent="0.45">
      <c r="A23" s="80" t="s">
        <v>176</v>
      </c>
      <c r="B23" s="80" t="s">
        <v>206</v>
      </c>
      <c r="C23" s="53"/>
      <c r="D23" s="54"/>
      <c r="E23" s="53"/>
      <c r="F23" s="55"/>
      <c r="G23" s="53"/>
      <c r="H23" s="57"/>
      <c r="I23" s="56"/>
      <c r="J23" s="56"/>
      <c r="K23" s="67"/>
      <c r="L23" s="62">
        <v>23</v>
      </c>
      <c r="M23" s="62" t="b">
        <f t="shared" si="0"/>
        <v>1</v>
      </c>
      <c r="N23" s="63"/>
    </row>
    <row r="24" spans="1:14" x14ac:dyDescent="0.45">
      <c r="A24" s="80" t="s">
        <v>177</v>
      </c>
      <c r="B24" s="80" t="s">
        <v>207</v>
      </c>
      <c r="C24" s="53"/>
      <c r="D24" s="54"/>
      <c r="E24" s="53"/>
      <c r="F24" s="55"/>
      <c r="G24" s="53"/>
      <c r="H24" s="57"/>
      <c r="I24" s="56"/>
      <c r="J24" s="56"/>
      <c r="K24" s="67"/>
      <c r="L24" s="62">
        <v>24</v>
      </c>
      <c r="M24" s="62" t="b">
        <f t="shared" si="0"/>
        <v>1</v>
      </c>
      <c r="N24" s="63"/>
    </row>
    <row r="25" spans="1:14" x14ac:dyDescent="0.45">
      <c r="A25" s="80" t="s">
        <v>176</v>
      </c>
      <c r="B25" s="80" t="s">
        <v>208</v>
      </c>
      <c r="C25" s="53"/>
      <c r="D25" s="54"/>
      <c r="E25" s="53"/>
      <c r="F25" s="55"/>
      <c r="G25" s="53"/>
      <c r="H25" s="57"/>
      <c r="I25" s="56"/>
      <c r="J25" s="56"/>
      <c r="K25" s="67"/>
      <c r="L25" s="62">
        <v>25</v>
      </c>
      <c r="M25" s="62" t="b">
        <f t="shared" si="0"/>
        <v>1</v>
      </c>
      <c r="N25" s="63"/>
    </row>
    <row r="26" spans="1:14" x14ac:dyDescent="0.45">
      <c r="A26" s="80" t="s">
        <v>180</v>
      </c>
      <c r="B26" s="80" t="s">
        <v>209</v>
      </c>
      <c r="C26" s="53"/>
      <c r="D26" s="54"/>
      <c r="E26" s="53"/>
      <c r="F26" s="55"/>
      <c r="G26" s="53"/>
      <c r="H26" s="57"/>
      <c r="I26" s="56"/>
      <c r="J26" s="56"/>
      <c r="K26" s="67"/>
      <c r="L26" s="62">
        <v>26</v>
      </c>
      <c r="M26" s="62" t="b">
        <f t="shared" si="0"/>
        <v>1</v>
      </c>
      <c r="N26" s="63"/>
    </row>
    <row r="27" spans="1:14" x14ac:dyDescent="0.45">
      <c r="A27" s="80" t="s">
        <v>179</v>
      </c>
      <c r="B27" s="80" t="s">
        <v>210</v>
      </c>
      <c r="C27" s="53"/>
      <c r="D27" s="54"/>
      <c r="E27" s="53"/>
      <c r="F27" s="55"/>
      <c r="G27" s="53"/>
      <c r="H27" s="57"/>
      <c r="I27" s="56"/>
      <c r="J27" s="56"/>
      <c r="K27" s="67"/>
      <c r="L27" s="62">
        <v>27</v>
      </c>
      <c r="M27" s="62" t="b">
        <f t="shared" si="0"/>
        <v>1</v>
      </c>
      <c r="N27" s="63"/>
    </row>
    <row r="28" spans="1:14" x14ac:dyDescent="0.45">
      <c r="A28" s="80" t="s">
        <v>178</v>
      </c>
      <c r="B28" s="80" t="s">
        <v>211</v>
      </c>
      <c r="C28" s="53"/>
      <c r="D28" s="54"/>
      <c r="E28" s="53"/>
      <c r="F28" s="55"/>
      <c r="G28" s="53"/>
      <c r="H28" s="57"/>
      <c r="I28" s="56"/>
      <c r="J28" s="56"/>
      <c r="K28" s="67"/>
      <c r="L28" s="62">
        <v>28</v>
      </c>
      <c r="M28" s="62" t="b">
        <f t="shared" si="0"/>
        <v>1</v>
      </c>
      <c r="N28" s="63"/>
    </row>
    <row r="29" spans="1:14" x14ac:dyDescent="0.45">
      <c r="A29" s="80" t="s">
        <v>183</v>
      </c>
      <c r="B29" s="80" t="s">
        <v>211</v>
      </c>
      <c r="C29" s="53"/>
      <c r="D29" s="54"/>
      <c r="E29" s="53"/>
      <c r="F29" s="55"/>
      <c r="G29" s="53"/>
      <c r="H29" s="57"/>
      <c r="I29" s="56"/>
      <c r="J29" s="56"/>
      <c r="K29" s="67"/>
      <c r="L29" s="62">
        <v>29</v>
      </c>
      <c r="M29" s="62" t="b">
        <f t="shared" si="0"/>
        <v>1</v>
      </c>
      <c r="N29" s="63"/>
    </row>
    <row r="30" spans="1:14" x14ac:dyDescent="0.45">
      <c r="A30" s="80" t="s">
        <v>176</v>
      </c>
      <c r="B30" s="80" t="s">
        <v>211</v>
      </c>
      <c r="C30" s="53"/>
      <c r="D30" s="54"/>
      <c r="E30" s="53"/>
      <c r="F30" s="55"/>
      <c r="G30" s="53"/>
      <c r="H30" s="57"/>
      <c r="I30" s="56"/>
      <c r="J30" s="56"/>
      <c r="K30" s="67"/>
      <c r="L30" s="62">
        <v>30</v>
      </c>
      <c r="M30" s="62" t="b">
        <f t="shared" si="0"/>
        <v>1</v>
      </c>
      <c r="N30" s="63"/>
    </row>
    <row r="31" spans="1:14" x14ac:dyDescent="0.45">
      <c r="A31" s="80" t="s">
        <v>177</v>
      </c>
      <c r="B31" s="80" t="s">
        <v>211</v>
      </c>
      <c r="C31" s="53"/>
      <c r="D31" s="54"/>
      <c r="E31" s="53"/>
      <c r="F31" s="55"/>
      <c r="G31" s="53"/>
      <c r="H31" s="57"/>
      <c r="I31" s="56"/>
      <c r="J31" s="56"/>
      <c r="K31" s="67"/>
      <c r="L31" s="62">
        <v>31</v>
      </c>
      <c r="M31" s="62" t="b">
        <f t="shared" si="0"/>
        <v>1</v>
      </c>
      <c r="N31" s="63"/>
    </row>
    <row r="32" spans="1:14" x14ac:dyDescent="0.45">
      <c r="A32" s="80" t="s">
        <v>176</v>
      </c>
      <c r="B32" s="80" t="s">
        <v>212</v>
      </c>
      <c r="C32" s="53"/>
      <c r="D32" s="54"/>
      <c r="E32" s="53"/>
      <c r="F32" s="55"/>
      <c r="G32" s="53"/>
      <c r="H32" s="57"/>
      <c r="I32" s="56"/>
      <c r="J32" s="56"/>
      <c r="K32" s="67"/>
      <c r="L32" s="62">
        <v>32</v>
      </c>
      <c r="M32" s="62" t="b">
        <f t="shared" si="0"/>
        <v>1</v>
      </c>
      <c r="N32" s="63"/>
    </row>
    <row r="33" spans="1:14" x14ac:dyDescent="0.45">
      <c r="A33" s="80" t="s">
        <v>176</v>
      </c>
      <c r="B33" s="80" t="s">
        <v>213</v>
      </c>
      <c r="C33" s="53"/>
      <c r="D33" s="54"/>
      <c r="E33" s="53"/>
      <c r="F33" s="55"/>
      <c r="G33" s="53"/>
      <c r="H33" s="57"/>
      <c r="I33" s="56"/>
      <c r="J33" s="56"/>
      <c r="K33" s="67"/>
      <c r="L33" s="62">
        <v>33</v>
      </c>
      <c r="M33" s="62" t="b">
        <f t="shared" si="0"/>
        <v>1</v>
      </c>
      <c r="N33" s="63"/>
    </row>
    <row r="34" spans="1:14" x14ac:dyDescent="0.45">
      <c r="A34" s="80" t="s">
        <v>176</v>
      </c>
      <c r="B34" s="80" t="s">
        <v>213</v>
      </c>
      <c r="C34" s="53"/>
      <c r="D34" s="54"/>
      <c r="E34" s="53"/>
      <c r="F34" s="55"/>
      <c r="G34" s="53"/>
      <c r="H34" s="57"/>
      <c r="I34" s="56"/>
      <c r="J34" s="56"/>
      <c r="K34" s="67"/>
      <c r="L34" s="62">
        <v>34</v>
      </c>
      <c r="M34" s="62" t="b">
        <f t="shared" si="0"/>
        <v>1</v>
      </c>
      <c r="N34" s="63"/>
    </row>
    <row r="35" spans="1:14" x14ac:dyDescent="0.45">
      <c r="A35" s="80" t="s">
        <v>184</v>
      </c>
      <c r="B35" s="80" t="s">
        <v>214</v>
      </c>
      <c r="C35" s="53"/>
      <c r="D35" s="54"/>
      <c r="E35" s="53"/>
      <c r="F35" s="55"/>
      <c r="G35" s="53"/>
      <c r="H35" s="57"/>
      <c r="I35" s="56"/>
      <c r="J35" s="56"/>
      <c r="K35" s="67"/>
      <c r="L35" s="62">
        <v>35</v>
      </c>
      <c r="M35" s="62" t="b">
        <f t="shared" ref="M35:M63" si="1" xml:space="preserve"> IF(AND(TRUE), TRUE, FALSE)</f>
        <v>1</v>
      </c>
      <c r="N35" s="63"/>
    </row>
    <row r="36" spans="1:14" x14ac:dyDescent="0.45">
      <c r="A36" s="80" t="s">
        <v>180</v>
      </c>
      <c r="B36" s="80" t="s">
        <v>215</v>
      </c>
      <c r="C36" s="53"/>
      <c r="D36" s="54"/>
      <c r="E36" s="53"/>
      <c r="F36" s="55"/>
      <c r="G36" s="53"/>
      <c r="H36" s="57"/>
      <c r="I36" s="56"/>
      <c r="J36" s="56"/>
      <c r="K36" s="67"/>
      <c r="L36" s="62">
        <v>36</v>
      </c>
      <c r="M36" s="62" t="b">
        <f t="shared" si="1"/>
        <v>1</v>
      </c>
      <c r="N36" s="63"/>
    </row>
    <row r="37" spans="1:14" x14ac:dyDescent="0.45">
      <c r="A37" s="80" t="s">
        <v>182</v>
      </c>
      <c r="B37" s="80" t="s">
        <v>216</v>
      </c>
      <c r="C37" s="53"/>
      <c r="D37" s="54"/>
      <c r="E37" s="53"/>
      <c r="F37" s="55"/>
      <c r="G37" s="53"/>
      <c r="H37" s="57"/>
      <c r="I37" s="56"/>
      <c r="J37" s="56"/>
      <c r="K37" s="67"/>
      <c r="L37" s="62">
        <v>37</v>
      </c>
      <c r="M37" s="62" t="b">
        <f t="shared" si="1"/>
        <v>1</v>
      </c>
      <c r="N37" s="63"/>
    </row>
    <row r="38" spans="1:14" x14ac:dyDescent="0.45">
      <c r="A38" s="80" t="s">
        <v>180</v>
      </c>
      <c r="B38" s="80" t="s">
        <v>216</v>
      </c>
      <c r="C38" s="53"/>
      <c r="D38" s="54"/>
      <c r="E38" s="53"/>
      <c r="F38" s="55"/>
      <c r="G38" s="53"/>
      <c r="H38" s="57"/>
      <c r="I38" s="56"/>
      <c r="J38" s="56"/>
      <c r="K38" s="67"/>
      <c r="L38" s="62">
        <v>38</v>
      </c>
      <c r="M38" s="62" t="b">
        <f t="shared" si="1"/>
        <v>1</v>
      </c>
      <c r="N38" s="63"/>
    </row>
    <row r="39" spans="1:14" x14ac:dyDescent="0.45">
      <c r="A39" s="80" t="s">
        <v>178</v>
      </c>
      <c r="B39" s="80" t="s">
        <v>216</v>
      </c>
      <c r="C39" s="53"/>
      <c r="D39" s="54"/>
      <c r="E39" s="53"/>
      <c r="F39" s="55"/>
      <c r="G39" s="53"/>
      <c r="H39" s="57"/>
      <c r="I39" s="56"/>
      <c r="J39" s="56"/>
      <c r="K39" s="67"/>
      <c r="L39" s="62">
        <v>39</v>
      </c>
      <c r="M39" s="62" t="b">
        <f t="shared" si="1"/>
        <v>1</v>
      </c>
      <c r="N39" s="63"/>
    </row>
    <row r="40" spans="1:14" x14ac:dyDescent="0.45">
      <c r="A40" s="80" t="s">
        <v>185</v>
      </c>
      <c r="B40" s="80" t="s">
        <v>216</v>
      </c>
      <c r="C40" s="53"/>
      <c r="D40" s="54"/>
      <c r="E40" s="53"/>
      <c r="F40" s="55"/>
      <c r="G40" s="53"/>
      <c r="H40" s="57"/>
      <c r="I40" s="56"/>
      <c r="J40" s="56"/>
      <c r="K40" s="67"/>
      <c r="L40" s="62">
        <v>40</v>
      </c>
      <c r="M40" s="62" t="b">
        <f t="shared" si="1"/>
        <v>1</v>
      </c>
      <c r="N40" s="63"/>
    </row>
    <row r="41" spans="1:14" x14ac:dyDescent="0.45">
      <c r="A41" s="80" t="s">
        <v>177</v>
      </c>
      <c r="B41" s="80" t="s">
        <v>216</v>
      </c>
      <c r="C41" s="53"/>
      <c r="D41" s="54"/>
      <c r="E41" s="53"/>
      <c r="F41" s="55"/>
      <c r="G41" s="53"/>
      <c r="H41" s="57"/>
      <c r="I41" s="56"/>
      <c r="J41" s="56"/>
      <c r="K41" s="67"/>
      <c r="L41" s="62">
        <v>41</v>
      </c>
      <c r="M41" s="62" t="b">
        <f t="shared" si="1"/>
        <v>1</v>
      </c>
      <c r="N41" s="63"/>
    </row>
    <row r="42" spans="1:14" x14ac:dyDescent="0.45">
      <c r="A42" s="80" t="s">
        <v>178</v>
      </c>
      <c r="B42" s="80" t="s">
        <v>217</v>
      </c>
      <c r="C42" s="53"/>
      <c r="D42" s="54"/>
      <c r="E42" s="53"/>
      <c r="F42" s="55"/>
      <c r="G42" s="53"/>
      <c r="H42" s="57"/>
      <c r="I42" s="56"/>
      <c r="J42" s="56"/>
      <c r="K42" s="67"/>
      <c r="L42" s="62">
        <v>42</v>
      </c>
      <c r="M42" s="62" t="b">
        <f t="shared" si="1"/>
        <v>1</v>
      </c>
      <c r="N42" s="63"/>
    </row>
    <row r="43" spans="1:14" x14ac:dyDescent="0.45">
      <c r="A43" s="80" t="s">
        <v>176</v>
      </c>
      <c r="B43" s="80" t="s">
        <v>218</v>
      </c>
      <c r="C43" s="53"/>
      <c r="D43" s="54"/>
      <c r="E43" s="53"/>
      <c r="F43" s="55"/>
      <c r="G43" s="53"/>
      <c r="H43" s="57"/>
      <c r="I43" s="56"/>
      <c r="J43" s="56"/>
      <c r="K43" s="67"/>
      <c r="L43" s="62">
        <v>43</v>
      </c>
      <c r="M43" s="62" t="b">
        <f t="shared" si="1"/>
        <v>1</v>
      </c>
      <c r="N43" s="63"/>
    </row>
    <row r="44" spans="1:14" x14ac:dyDescent="0.45">
      <c r="A44" s="80" t="s">
        <v>179</v>
      </c>
      <c r="B44" s="80" t="s">
        <v>219</v>
      </c>
      <c r="C44" s="53"/>
      <c r="D44" s="54"/>
      <c r="E44" s="53"/>
      <c r="F44" s="55"/>
      <c r="G44" s="53"/>
      <c r="H44" s="57"/>
      <c r="I44" s="56"/>
      <c r="J44" s="56"/>
      <c r="K44" s="67"/>
      <c r="L44" s="62">
        <v>44</v>
      </c>
      <c r="M44" s="62" t="b">
        <f t="shared" si="1"/>
        <v>1</v>
      </c>
      <c r="N44" s="63"/>
    </row>
    <row r="45" spans="1:14" x14ac:dyDescent="0.45">
      <c r="A45" s="80" t="s">
        <v>178</v>
      </c>
      <c r="B45" s="80" t="s">
        <v>219</v>
      </c>
      <c r="C45" s="53"/>
      <c r="D45" s="54"/>
      <c r="E45" s="53"/>
      <c r="F45" s="55"/>
      <c r="G45" s="53"/>
      <c r="H45" s="57"/>
      <c r="I45" s="56"/>
      <c r="J45" s="56"/>
      <c r="K45" s="67"/>
      <c r="L45" s="62">
        <v>45</v>
      </c>
      <c r="M45" s="62" t="b">
        <f t="shared" si="1"/>
        <v>1</v>
      </c>
      <c r="N45" s="63"/>
    </row>
    <row r="46" spans="1:14" x14ac:dyDescent="0.45">
      <c r="A46" s="80" t="s">
        <v>180</v>
      </c>
      <c r="B46" s="80" t="s">
        <v>219</v>
      </c>
      <c r="C46" s="53"/>
      <c r="D46" s="54"/>
      <c r="E46" s="53"/>
      <c r="F46" s="55"/>
      <c r="G46" s="53"/>
      <c r="H46" s="57"/>
      <c r="I46" s="56"/>
      <c r="J46" s="56"/>
      <c r="K46" s="67"/>
      <c r="L46" s="62">
        <v>46</v>
      </c>
      <c r="M46" s="62" t="b">
        <f t="shared" si="1"/>
        <v>1</v>
      </c>
      <c r="N46" s="63"/>
    </row>
    <row r="47" spans="1:14" x14ac:dyDescent="0.45">
      <c r="A47" s="80" t="s">
        <v>183</v>
      </c>
      <c r="B47" s="80" t="s">
        <v>219</v>
      </c>
      <c r="C47" s="53"/>
      <c r="D47" s="54"/>
      <c r="E47" s="53"/>
      <c r="F47" s="55"/>
      <c r="G47" s="53"/>
      <c r="H47" s="57"/>
      <c r="I47" s="56"/>
      <c r="J47" s="56"/>
      <c r="K47" s="67"/>
      <c r="L47" s="62">
        <v>47</v>
      </c>
      <c r="M47" s="62" t="b">
        <f t="shared" si="1"/>
        <v>1</v>
      </c>
      <c r="N47" s="63"/>
    </row>
    <row r="48" spans="1:14" x14ac:dyDescent="0.45">
      <c r="A48" s="80" t="s">
        <v>185</v>
      </c>
      <c r="B48" s="80" t="s">
        <v>220</v>
      </c>
      <c r="C48" s="53"/>
      <c r="D48" s="54"/>
      <c r="E48" s="53"/>
      <c r="F48" s="55"/>
      <c r="G48" s="53"/>
      <c r="H48" s="57"/>
      <c r="I48" s="56"/>
      <c r="J48" s="56"/>
      <c r="K48" s="67"/>
      <c r="L48" s="62">
        <v>48</v>
      </c>
      <c r="M48" s="62" t="b">
        <f t="shared" si="1"/>
        <v>1</v>
      </c>
      <c r="N48" s="63"/>
    </row>
    <row r="49" spans="1:14" x14ac:dyDescent="0.45">
      <c r="A49" s="80" t="s">
        <v>176</v>
      </c>
      <c r="B49" s="80" t="s">
        <v>221</v>
      </c>
      <c r="C49" s="53"/>
      <c r="D49" s="54"/>
      <c r="E49" s="53"/>
      <c r="F49" s="55"/>
      <c r="G49" s="53"/>
      <c r="H49" s="57"/>
      <c r="I49" s="56"/>
      <c r="J49" s="56"/>
      <c r="K49" s="67"/>
      <c r="L49" s="62">
        <v>49</v>
      </c>
      <c r="M49" s="62" t="b">
        <f t="shared" si="1"/>
        <v>1</v>
      </c>
      <c r="N49" s="63"/>
    </row>
    <row r="50" spans="1:14" x14ac:dyDescent="0.45">
      <c r="A50" s="80" t="s">
        <v>180</v>
      </c>
      <c r="B50" s="80" t="s">
        <v>222</v>
      </c>
      <c r="C50" s="53"/>
      <c r="D50" s="54"/>
      <c r="E50" s="53"/>
      <c r="F50" s="55"/>
      <c r="G50" s="53"/>
      <c r="H50" s="57"/>
      <c r="I50" s="56"/>
      <c r="J50" s="56"/>
      <c r="K50" s="67"/>
      <c r="L50" s="62">
        <v>50</v>
      </c>
      <c r="M50" s="62" t="b">
        <f t="shared" si="1"/>
        <v>1</v>
      </c>
      <c r="N50" s="63"/>
    </row>
    <row r="51" spans="1:14" x14ac:dyDescent="0.45">
      <c r="A51" s="80" t="s">
        <v>176</v>
      </c>
      <c r="B51" s="80" t="s">
        <v>222</v>
      </c>
      <c r="C51" s="53"/>
      <c r="D51" s="54"/>
      <c r="E51" s="53"/>
      <c r="F51" s="55"/>
      <c r="G51" s="53"/>
      <c r="H51" s="57"/>
      <c r="I51" s="56"/>
      <c r="J51" s="56"/>
      <c r="K51" s="67"/>
      <c r="L51" s="62">
        <v>51</v>
      </c>
      <c r="M51" s="62" t="b">
        <f t="shared" si="1"/>
        <v>1</v>
      </c>
      <c r="N51" s="63"/>
    </row>
    <row r="52" spans="1:14" x14ac:dyDescent="0.45">
      <c r="A52" s="80" t="s">
        <v>176</v>
      </c>
      <c r="B52" s="80" t="s">
        <v>223</v>
      </c>
      <c r="C52" s="53"/>
      <c r="D52" s="54"/>
      <c r="E52" s="53"/>
      <c r="F52" s="55"/>
      <c r="G52" s="53"/>
      <c r="H52" s="57"/>
      <c r="I52" s="56"/>
      <c r="J52" s="56"/>
      <c r="K52" s="67"/>
      <c r="L52" s="62">
        <v>52</v>
      </c>
      <c r="M52" s="62" t="b">
        <f t="shared" si="1"/>
        <v>1</v>
      </c>
      <c r="N52" s="63"/>
    </row>
    <row r="53" spans="1:14" x14ac:dyDescent="0.45">
      <c r="A53" s="80" t="s">
        <v>180</v>
      </c>
      <c r="B53" s="80" t="s">
        <v>223</v>
      </c>
      <c r="C53" s="53"/>
      <c r="D53" s="54"/>
      <c r="E53" s="53"/>
      <c r="F53" s="55"/>
      <c r="G53" s="53"/>
      <c r="H53" s="57"/>
      <c r="I53" s="56"/>
      <c r="J53" s="56"/>
      <c r="K53" s="67"/>
      <c r="L53" s="62">
        <v>53</v>
      </c>
      <c r="M53" s="62" t="b">
        <f t="shared" si="1"/>
        <v>1</v>
      </c>
      <c r="N53" s="63"/>
    </row>
    <row r="54" spans="1:14" x14ac:dyDescent="0.45">
      <c r="A54" s="80" t="s">
        <v>176</v>
      </c>
      <c r="B54" s="80" t="s">
        <v>224</v>
      </c>
      <c r="C54" s="53"/>
      <c r="D54" s="54"/>
      <c r="E54" s="53"/>
      <c r="F54" s="55"/>
      <c r="G54" s="53"/>
      <c r="H54" s="57"/>
      <c r="I54" s="56"/>
      <c r="J54" s="56"/>
      <c r="K54" s="67"/>
      <c r="L54" s="62">
        <v>54</v>
      </c>
      <c r="M54" s="62" t="b">
        <f t="shared" si="1"/>
        <v>1</v>
      </c>
      <c r="N54" s="63"/>
    </row>
    <row r="55" spans="1:14" x14ac:dyDescent="0.45">
      <c r="A55" s="80" t="s">
        <v>186</v>
      </c>
      <c r="B55" s="80" t="s">
        <v>225</v>
      </c>
      <c r="C55" s="53"/>
      <c r="D55" s="54"/>
      <c r="E55" s="53"/>
      <c r="F55" s="55"/>
      <c r="G55" s="53"/>
      <c r="H55" s="57"/>
      <c r="I55" s="56"/>
      <c r="J55" s="56"/>
      <c r="K55" s="67"/>
      <c r="L55" s="62">
        <v>55</v>
      </c>
      <c r="M55" s="62" t="b">
        <f t="shared" si="1"/>
        <v>1</v>
      </c>
      <c r="N55" s="63"/>
    </row>
    <row r="56" spans="1:14" x14ac:dyDescent="0.45">
      <c r="A56" s="80" t="s">
        <v>176</v>
      </c>
      <c r="B56" s="80" t="s">
        <v>226</v>
      </c>
      <c r="C56" s="53"/>
      <c r="D56" s="54"/>
      <c r="E56" s="53"/>
      <c r="F56" s="55"/>
      <c r="G56" s="53"/>
      <c r="H56" s="57"/>
      <c r="I56" s="56"/>
      <c r="J56" s="56"/>
      <c r="K56" s="67"/>
      <c r="L56" s="62">
        <v>56</v>
      </c>
      <c r="M56" s="62" t="b">
        <f t="shared" si="1"/>
        <v>1</v>
      </c>
      <c r="N56" s="63"/>
    </row>
    <row r="57" spans="1:14" x14ac:dyDescent="0.45">
      <c r="A57" s="80" t="s">
        <v>186</v>
      </c>
      <c r="B57" s="80" t="s">
        <v>227</v>
      </c>
      <c r="C57" s="53"/>
      <c r="D57" s="54"/>
      <c r="E57" s="53"/>
      <c r="F57" s="55"/>
      <c r="G57" s="53"/>
      <c r="H57" s="57"/>
      <c r="I57" s="56"/>
      <c r="J57" s="56"/>
      <c r="K57" s="67"/>
      <c r="L57" s="62">
        <v>57</v>
      </c>
      <c r="M57" s="62" t="b">
        <f t="shared" si="1"/>
        <v>1</v>
      </c>
      <c r="N57" s="63"/>
    </row>
    <row r="58" spans="1:14" x14ac:dyDescent="0.45">
      <c r="A58" s="80" t="s">
        <v>186</v>
      </c>
      <c r="B58" s="80" t="s">
        <v>186</v>
      </c>
      <c r="C58" s="53"/>
      <c r="D58" s="54"/>
      <c r="E58" s="53"/>
      <c r="F58" s="55"/>
      <c r="G58" s="53"/>
      <c r="H58" s="57"/>
      <c r="I58" s="56"/>
      <c r="J58" s="56"/>
      <c r="K58" s="67"/>
      <c r="L58" s="62">
        <v>58</v>
      </c>
      <c r="M58" s="62" t="b">
        <f t="shared" si="1"/>
        <v>1</v>
      </c>
      <c r="N58" s="63"/>
    </row>
    <row r="59" spans="1:14" x14ac:dyDescent="0.45">
      <c r="A59" s="80" t="s">
        <v>176</v>
      </c>
      <c r="B59" s="80" t="s">
        <v>228</v>
      </c>
      <c r="C59" s="53"/>
      <c r="D59" s="54"/>
      <c r="E59" s="53"/>
      <c r="F59" s="55"/>
      <c r="G59" s="53"/>
      <c r="H59" s="57"/>
      <c r="I59" s="56"/>
      <c r="J59" s="56"/>
      <c r="K59" s="67"/>
      <c r="L59" s="62">
        <v>59</v>
      </c>
      <c r="M59" s="62" t="b">
        <f t="shared" si="1"/>
        <v>1</v>
      </c>
      <c r="N59" s="63"/>
    </row>
    <row r="60" spans="1:14" x14ac:dyDescent="0.45">
      <c r="A60" s="80" t="s">
        <v>176</v>
      </c>
      <c r="B60" s="80" t="s">
        <v>229</v>
      </c>
      <c r="C60" s="53"/>
      <c r="D60" s="54"/>
      <c r="E60" s="53"/>
      <c r="F60" s="55"/>
      <c r="G60" s="53"/>
      <c r="H60" s="57"/>
      <c r="I60" s="56"/>
      <c r="J60" s="56"/>
      <c r="K60" s="67"/>
      <c r="L60" s="62">
        <v>60</v>
      </c>
      <c r="M60" s="62" t="b">
        <f t="shared" si="1"/>
        <v>1</v>
      </c>
      <c r="N60" s="63"/>
    </row>
    <row r="61" spans="1:14" x14ac:dyDescent="0.45">
      <c r="A61" s="80" t="s">
        <v>176</v>
      </c>
      <c r="B61" s="80" t="s">
        <v>230</v>
      </c>
      <c r="C61" s="53"/>
      <c r="D61" s="54"/>
      <c r="E61" s="53"/>
      <c r="F61" s="55"/>
      <c r="G61" s="53"/>
      <c r="H61" s="57"/>
      <c r="I61" s="56"/>
      <c r="J61" s="56"/>
      <c r="K61" s="67"/>
      <c r="L61" s="62">
        <v>61</v>
      </c>
      <c r="M61" s="62" t="b">
        <f t="shared" si="1"/>
        <v>1</v>
      </c>
      <c r="N61" s="63"/>
    </row>
    <row r="62" spans="1:14" x14ac:dyDescent="0.45">
      <c r="A62" s="80" t="s">
        <v>180</v>
      </c>
      <c r="B62" s="80" t="s">
        <v>231</v>
      </c>
      <c r="C62" s="53"/>
      <c r="D62" s="54"/>
      <c r="E62" s="53"/>
      <c r="F62" s="55"/>
      <c r="G62" s="53"/>
      <c r="H62" s="57"/>
      <c r="I62" s="56"/>
      <c r="J62" s="56"/>
      <c r="K62" s="67"/>
      <c r="L62" s="62">
        <v>62</v>
      </c>
      <c r="M62" s="62" t="b">
        <f t="shared" si="1"/>
        <v>1</v>
      </c>
      <c r="N62" s="63"/>
    </row>
    <row r="63" spans="1:14" x14ac:dyDescent="0.45">
      <c r="A63" s="80" t="s">
        <v>187</v>
      </c>
      <c r="B63" s="80" t="s">
        <v>232</v>
      </c>
      <c r="C63" s="53"/>
      <c r="D63" s="54"/>
      <c r="E63" s="53"/>
      <c r="F63" s="55"/>
      <c r="G63" s="53"/>
      <c r="H63" s="57"/>
      <c r="I63" s="56"/>
      <c r="J63" s="56"/>
      <c r="K63" s="67"/>
      <c r="L63" s="62">
        <v>63</v>
      </c>
      <c r="M63" s="62" t="b">
        <f t="shared" si="1"/>
        <v>1</v>
      </c>
      <c r="N63" s="63"/>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63" xr:uid="{00000000-0002-0000-0000-000000000000}"/>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M63" xr:uid="{00000000-0002-0000-0000-000001000000}"/>
    <dataValidation allowBlank="1" showErrorMessage="1" sqref="N2:N63" xr:uid="{00000000-0002-0000-0000-000002000000}"/>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63" xr:uid="{00000000-0002-0000-0000-000003000000}"/>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63" xr:uid="{00000000-0002-0000-0000-000004000000}"/>
    <dataValidation allowBlank="1" showInputMessage="1" promptTitle="Edge Color" prompt="To select an optional edge color, right-click and select Select Color on the right-click menu." sqref="C3:C63" xr:uid="{00000000-0002-0000-0000-000005000000}"/>
    <dataValidation allowBlank="1" showInputMessage="1" errorTitle="Invalid Edge Width" error="The optional edge width must be a whole number between 1 and 10." promptTitle="Edge Width" prompt="Enter an optional edge width between 1 and 10." sqref="D3:D63" xr:uid="{00000000-0002-0000-0000-000006000000}"/>
    <dataValidation allowBlank="1" showInputMessage="1" errorTitle="Invalid Edge Opacity" error="The optional edge opacity must be a whole number between 0 and 10." promptTitle="Edge Opacity" prompt="Enter an optional edge opacity between 0 (transparent) and 100 (opaque)." sqref="F3:F63" xr:uid="{00000000-0002-0000-0000-000007000000}"/>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G63" xr:uid="{00000000-0002-0000-0000-000008000000}">
      <formula1>ValidEdgeVisibilities</formula1>
    </dataValidation>
    <dataValidation allowBlank="1" showInputMessage="1" showErrorMessage="1" promptTitle="Vertex 1 Name" prompt="Enter the name of the edge's first vertex." sqref="A3:A63" xr:uid="{00000000-0002-0000-0000-000009000000}"/>
    <dataValidation allowBlank="1" showInputMessage="1" showErrorMessage="1" promptTitle="Vertex 2 Name" prompt="Enter the name of the edge's second vertex." sqref="B3:B63" xr:uid="{00000000-0002-0000-0000-00000A000000}"/>
    <dataValidation allowBlank="1" showInputMessage="1" showErrorMessage="1" errorTitle="Invalid Edge Visibility" error="You have entered an unrecognized edge visibility.  Try selecting from the drop-down list instead." promptTitle="Edge Label" prompt="Enter an optional edge label." sqref="H3:H63" xr:uid="{00000000-0002-0000-0000-00000B000000}"/>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E63" xr:uid="{00000000-0002-0000-0000-00000C000000}">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K63" xr:uid="{00000000-0002-0000-0000-00000D000000}"/>
  </dataValidations>
  <pageMargins left="0.7" right="0.7" top="0.75" bottom="0.75" header="0.3" footer="0.3"/>
  <pageSetup orientation="portrait"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9"/>
  <sheetViews>
    <sheetView tabSelected="1" workbookViewId="0">
      <pane xSplit="1" ySplit="2" topLeftCell="B3" activePane="bottomRight" state="frozen"/>
      <selection pane="topRight" activeCell="B1" sqref="B1"/>
      <selection pane="bottomLeft" activeCell="A3" sqref="A3"/>
      <selection pane="bottomRight" activeCell="A2" sqref="A2:AM2"/>
    </sheetView>
  </sheetViews>
  <sheetFormatPr defaultRowHeight="14.25" x14ac:dyDescent="0.45"/>
  <cols>
    <col min="1" max="1" width="9.1328125" style="1"/>
    <col min="2" max="2" width="7.86328125" customWidth="1"/>
    <col min="3" max="3" width="8.59765625" customWidth="1"/>
    <col min="4" max="4" width="6.73046875" customWidth="1"/>
    <col min="5" max="5" width="9.86328125" customWidth="1"/>
    <col min="6" max="6" width="7.73046875" customWidth="1"/>
    <col min="7" max="7" width="11" customWidth="1"/>
    <col min="8" max="8" width="8.59765625" customWidth="1"/>
    <col min="9" max="9" width="9.73046875" customWidth="1"/>
    <col min="10" max="10" width="10.59765625" style="3" customWidth="1"/>
    <col min="11" max="11" width="9.1328125" customWidth="1"/>
    <col min="12" max="12" width="9.1328125" hidden="1" customWidth="1"/>
    <col min="13" max="14" width="4.265625" hidden="1" customWidth="1"/>
    <col min="15" max="15" width="10.265625" hidden="1" customWidth="1"/>
    <col min="16" max="16" width="6.3984375" hidden="1" customWidth="1"/>
    <col min="17" max="17" width="8.265625" hidden="1" customWidth="1"/>
    <col min="18" max="18" width="9.59765625" customWidth="1"/>
    <col min="19" max="19" width="9.265625" customWidth="1"/>
    <col min="20" max="20" width="9.59765625" customWidth="1"/>
    <col min="21" max="23" width="14.265625" customWidth="1"/>
    <col min="24" max="24" width="11.86328125" customWidth="1"/>
    <col min="25" max="25" width="14.3984375" customWidth="1"/>
    <col min="26" max="26" width="18.265625" customWidth="1"/>
    <col min="27" max="27" width="5" style="3" hidden="1" customWidth="1"/>
    <col min="28" max="28" width="16" style="3" hidden="1" customWidth="1"/>
    <col min="29" max="29" width="16" style="6" bestFit="1" customWidth="1"/>
    <col min="30" max="30" width="15.33203125" style="2" bestFit="1" customWidth="1"/>
    <col min="31" max="31" width="17.06640625" style="3" bestFit="1" customWidth="1"/>
    <col min="32" max="32" width="15.33203125" style="3" bestFit="1" customWidth="1"/>
    <col min="33" max="33" width="17.06640625" style="3" bestFit="1" customWidth="1"/>
    <col min="34" max="34" width="15.46484375" style="3" bestFit="1" customWidth="1"/>
    <col min="35" max="35" width="17.06640625" bestFit="1" customWidth="1"/>
    <col min="36" max="36" width="15.33203125" bestFit="1" customWidth="1"/>
    <col min="37" max="37" width="17.06640625" bestFit="1" customWidth="1"/>
    <col min="38" max="38" width="17" bestFit="1" customWidth="1"/>
    <col min="39" max="39" width="17.06640625" bestFit="1" customWidth="1"/>
  </cols>
  <sheetData>
    <row r="1" spans="1:44" x14ac:dyDescent="0.45">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44" ht="30" customHeight="1" x14ac:dyDescent="0.45">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137</v>
      </c>
      <c r="Y2" s="13" t="s">
        <v>38</v>
      </c>
      <c r="Z2" s="13" t="s">
        <v>170</v>
      </c>
      <c r="AA2" s="11" t="s">
        <v>12</v>
      </c>
      <c r="AB2" s="11" t="s">
        <v>39</v>
      </c>
      <c r="AC2" s="8" t="s">
        <v>26</v>
      </c>
      <c r="AD2" s="103" t="s">
        <v>267</v>
      </c>
      <c r="AE2" s="103" t="s">
        <v>268</v>
      </c>
      <c r="AF2" s="103" t="s">
        <v>269</v>
      </c>
      <c r="AG2" s="103" t="s">
        <v>270</v>
      </c>
      <c r="AH2" s="103" t="s">
        <v>271</v>
      </c>
      <c r="AI2" s="103" t="s">
        <v>272</v>
      </c>
      <c r="AJ2" s="103" t="s">
        <v>273</v>
      </c>
      <c r="AK2" s="103" t="s">
        <v>275</v>
      </c>
      <c r="AL2" s="103" t="s">
        <v>276</v>
      </c>
      <c r="AM2" s="103" t="s">
        <v>277</v>
      </c>
      <c r="AN2" s="3"/>
      <c r="AO2" s="3"/>
    </row>
    <row r="3" spans="1:44" ht="15" customHeight="1" x14ac:dyDescent="0.45">
      <c r="A3" s="50" t="s">
        <v>176</v>
      </c>
      <c r="B3" s="53"/>
      <c r="C3" s="53"/>
      <c r="D3" s="54"/>
      <c r="E3" s="55"/>
      <c r="F3" s="53"/>
      <c r="G3" s="53"/>
      <c r="H3" s="50" t="s">
        <v>176</v>
      </c>
      <c r="I3" s="56" t="s">
        <v>239</v>
      </c>
      <c r="J3" s="56"/>
      <c r="K3" s="57"/>
      <c r="L3" s="59"/>
      <c r="M3" s="60">
        <v>4422.12451171875</v>
      </c>
      <c r="N3" s="60">
        <v>5825.98388671875</v>
      </c>
      <c r="O3" s="58"/>
      <c r="P3" s="61"/>
      <c r="Q3" s="61"/>
      <c r="R3" s="51"/>
      <c r="S3" s="51"/>
      <c r="T3" s="51"/>
      <c r="U3" s="52"/>
      <c r="V3" s="52"/>
      <c r="W3" s="52"/>
      <c r="X3" s="52"/>
      <c r="Y3" s="52"/>
      <c r="Z3" s="52"/>
      <c r="AA3" s="62">
        <v>3</v>
      </c>
      <c r="AB3" s="62"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3" s="63"/>
      <c r="AD3" s="51"/>
      <c r="AE3" s="51"/>
      <c r="AF3" s="51"/>
      <c r="AG3" s="51"/>
      <c r="AH3" s="51"/>
      <c r="AI3" s="51"/>
      <c r="AJ3" s="51"/>
      <c r="AK3" s="51"/>
      <c r="AL3" s="51"/>
      <c r="AM3" s="51"/>
      <c r="AN3" s="3"/>
      <c r="AO3" s="3"/>
    </row>
    <row r="4" spans="1:44" x14ac:dyDescent="0.45">
      <c r="A4" s="14" t="s">
        <v>188</v>
      </c>
      <c r="B4" s="15"/>
      <c r="C4" s="15"/>
      <c r="D4" s="81"/>
      <c r="E4" s="78"/>
      <c r="F4" s="15"/>
      <c r="G4" s="15"/>
      <c r="H4" s="14" t="s">
        <v>188</v>
      </c>
      <c r="I4" s="66"/>
      <c r="J4" s="66"/>
      <c r="K4" s="16"/>
      <c r="L4" s="82"/>
      <c r="M4" s="83">
        <v>4939.32861328125</v>
      </c>
      <c r="N4" s="83">
        <v>1037.5906982421875</v>
      </c>
      <c r="O4" s="77"/>
      <c r="P4" s="84"/>
      <c r="Q4" s="84"/>
      <c r="R4" s="51"/>
      <c r="S4" s="85"/>
      <c r="T4" s="85"/>
      <c r="U4" s="52"/>
      <c r="V4" s="52"/>
      <c r="W4" s="52"/>
      <c r="X4" s="52"/>
      <c r="Y4" s="52"/>
      <c r="Z4" s="52"/>
      <c r="AA4" s="79">
        <v>4</v>
      </c>
      <c r="AB4"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4" s="86"/>
      <c r="AD4" s="51"/>
      <c r="AE4" s="51"/>
      <c r="AF4" s="51"/>
      <c r="AG4" s="51"/>
      <c r="AH4" s="51"/>
      <c r="AI4" s="51"/>
      <c r="AJ4" s="51"/>
      <c r="AK4" s="51"/>
      <c r="AL4" s="51"/>
      <c r="AM4" s="51"/>
      <c r="AN4" s="2"/>
      <c r="AO4" s="3"/>
      <c r="AP4" s="3"/>
      <c r="AQ4" s="3"/>
      <c r="AR4" s="3"/>
    </row>
    <row r="5" spans="1:44" x14ac:dyDescent="0.45">
      <c r="A5" s="14" t="s">
        <v>177</v>
      </c>
      <c r="B5" s="15"/>
      <c r="C5" s="15"/>
      <c r="D5" s="81"/>
      <c r="E5" s="78"/>
      <c r="F5" s="15"/>
      <c r="G5" s="15"/>
      <c r="H5" s="14" t="s">
        <v>177</v>
      </c>
      <c r="I5" s="66"/>
      <c r="J5" s="66"/>
      <c r="K5" s="16"/>
      <c r="L5" s="82"/>
      <c r="M5" s="83">
        <v>5083.1337890625</v>
      </c>
      <c r="N5" s="83">
        <v>3054.966552734375</v>
      </c>
      <c r="O5" s="77"/>
      <c r="P5" s="84"/>
      <c r="Q5" s="84"/>
      <c r="R5" s="51"/>
      <c r="S5" s="85"/>
      <c r="T5" s="85"/>
      <c r="U5" s="52"/>
      <c r="V5" s="52"/>
      <c r="W5" s="52"/>
      <c r="X5" s="52"/>
      <c r="Y5" s="52"/>
      <c r="Z5" s="52"/>
      <c r="AA5" s="79">
        <v>5</v>
      </c>
      <c r="AB5"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5" s="86"/>
      <c r="AD5" s="51"/>
      <c r="AE5" s="51"/>
      <c r="AF5" s="51"/>
      <c r="AG5" s="51"/>
      <c r="AH5" s="51"/>
      <c r="AI5" s="51"/>
      <c r="AJ5" s="51"/>
      <c r="AK5" s="51"/>
      <c r="AL5" s="51"/>
      <c r="AM5" s="51"/>
      <c r="AN5" s="2"/>
      <c r="AO5" s="3"/>
      <c r="AP5" s="3"/>
      <c r="AQ5" s="3"/>
      <c r="AR5" s="3"/>
    </row>
    <row r="6" spans="1:44" x14ac:dyDescent="0.45">
      <c r="A6" s="14" t="s">
        <v>178</v>
      </c>
      <c r="B6" s="15"/>
      <c r="C6" s="15"/>
      <c r="D6" s="81"/>
      <c r="E6" s="78"/>
      <c r="F6" s="15"/>
      <c r="G6" s="15"/>
      <c r="H6" s="14" t="s">
        <v>178</v>
      </c>
      <c r="I6" s="66"/>
      <c r="J6" s="66"/>
      <c r="K6" s="16"/>
      <c r="L6" s="82"/>
      <c r="M6" s="83">
        <v>4388.22021484375</v>
      </c>
      <c r="N6" s="83">
        <v>3065.93408203125</v>
      </c>
      <c r="O6" s="77"/>
      <c r="P6" s="84"/>
      <c r="Q6" s="84"/>
      <c r="R6" s="51"/>
      <c r="S6" s="85"/>
      <c r="T6" s="85"/>
      <c r="U6" s="52"/>
      <c r="V6" s="52"/>
      <c r="W6" s="52"/>
      <c r="X6" s="52"/>
      <c r="Y6" s="52"/>
      <c r="Z6" s="52"/>
      <c r="AA6" s="79">
        <v>6</v>
      </c>
      <c r="AB6"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6" s="86"/>
      <c r="AD6" s="51"/>
      <c r="AE6" s="51"/>
      <c r="AF6" s="51"/>
      <c r="AG6" s="51"/>
      <c r="AH6" s="51"/>
      <c r="AI6" s="51"/>
      <c r="AJ6" s="51"/>
      <c r="AK6" s="51"/>
      <c r="AL6" s="51"/>
      <c r="AM6" s="51"/>
      <c r="AN6" s="2"/>
      <c r="AO6" s="3"/>
      <c r="AP6" s="3"/>
      <c r="AQ6" s="3"/>
      <c r="AR6" s="3"/>
    </row>
    <row r="7" spans="1:44" x14ac:dyDescent="0.45">
      <c r="A7" s="14" t="s">
        <v>189</v>
      </c>
      <c r="B7" s="15" t="s">
        <v>278</v>
      </c>
      <c r="C7" s="15"/>
      <c r="D7" s="81">
        <v>1.5</v>
      </c>
      <c r="E7" s="78"/>
      <c r="F7" s="15"/>
      <c r="G7" s="15"/>
      <c r="H7" s="14" t="s">
        <v>189</v>
      </c>
      <c r="I7" s="66"/>
      <c r="J7" s="66"/>
      <c r="K7" s="16"/>
      <c r="L7" s="82"/>
      <c r="M7" s="83">
        <v>763.76617431640625</v>
      </c>
      <c r="N7" s="83">
        <v>2829.75830078125</v>
      </c>
      <c r="O7" s="77"/>
      <c r="P7" s="84"/>
      <c r="Q7" s="84"/>
      <c r="R7" s="51">
        <v>1</v>
      </c>
      <c r="S7" s="85"/>
      <c r="T7" s="85"/>
      <c r="U7" s="52">
        <v>0</v>
      </c>
      <c r="V7" s="52">
        <v>5.8820000000000001E-3</v>
      </c>
      <c r="W7" s="52">
        <v>3.5170000000000002E-3</v>
      </c>
      <c r="X7" s="52">
        <v>0.48528199999999999</v>
      </c>
      <c r="Y7" s="52">
        <v>0</v>
      </c>
      <c r="Z7" s="52"/>
      <c r="AA7" s="79">
        <v>7</v>
      </c>
      <c r="AB7"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7" s="86"/>
      <c r="AD7" s="51"/>
      <c r="AE7" s="51"/>
      <c r="AF7" s="51"/>
      <c r="AG7" s="51"/>
      <c r="AH7" s="51"/>
      <c r="AI7" s="51"/>
      <c r="AJ7" s="51"/>
      <c r="AK7" s="51"/>
      <c r="AL7" s="51"/>
      <c r="AM7" s="51"/>
      <c r="AN7" s="2"/>
      <c r="AO7" s="3"/>
      <c r="AP7" s="3"/>
      <c r="AQ7" s="3"/>
      <c r="AR7" s="3"/>
    </row>
    <row r="8" spans="1:44" x14ac:dyDescent="0.45">
      <c r="A8" s="14" t="s">
        <v>190</v>
      </c>
      <c r="B8" s="15"/>
      <c r="C8" s="15"/>
      <c r="D8" s="81"/>
      <c r="E8" s="78"/>
      <c r="F8" s="15"/>
      <c r="G8" s="15"/>
      <c r="H8" s="14" t="s">
        <v>190</v>
      </c>
      <c r="I8" s="66"/>
      <c r="J8" s="66"/>
      <c r="K8" s="16"/>
      <c r="L8" s="82"/>
      <c r="M8" s="83">
        <v>142.02125549316406</v>
      </c>
      <c r="N8" s="83">
        <v>6909.208984375</v>
      </c>
      <c r="O8" s="77"/>
      <c r="P8" s="84"/>
      <c r="Q8" s="84"/>
      <c r="R8" s="51"/>
      <c r="S8" s="85"/>
      <c r="T8" s="85"/>
      <c r="U8" s="52"/>
      <c r="V8" s="52"/>
      <c r="W8" s="52"/>
      <c r="X8" s="52"/>
      <c r="Y8" s="52"/>
      <c r="Z8" s="52"/>
      <c r="AA8" s="79">
        <v>8</v>
      </c>
      <c r="AB8"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8" s="86"/>
      <c r="AD8" s="51"/>
      <c r="AE8" s="51"/>
      <c r="AF8" s="51"/>
      <c r="AG8" s="51"/>
      <c r="AH8" s="51"/>
      <c r="AI8" s="51"/>
      <c r="AJ8" s="51"/>
      <c r="AK8" s="51"/>
      <c r="AL8" s="51"/>
      <c r="AM8" s="51"/>
      <c r="AN8" s="2"/>
      <c r="AO8" s="3"/>
      <c r="AP8" s="3"/>
      <c r="AQ8" s="3"/>
      <c r="AR8" s="3"/>
    </row>
    <row r="9" spans="1:44" x14ac:dyDescent="0.45">
      <c r="A9" s="14" t="s">
        <v>191</v>
      </c>
      <c r="B9" s="15"/>
      <c r="C9" s="15"/>
      <c r="D9" s="81"/>
      <c r="E9" s="78"/>
      <c r="F9" s="15"/>
      <c r="G9" s="15"/>
      <c r="H9" s="14" t="s">
        <v>191</v>
      </c>
      <c r="I9" s="66"/>
      <c r="J9" s="66"/>
      <c r="K9" s="16"/>
      <c r="L9" s="82"/>
      <c r="M9" s="83">
        <v>3413.311767578125</v>
      </c>
      <c r="N9" s="83">
        <v>154.30667114257813</v>
      </c>
      <c r="O9" s="77"/>
      <c r="P9" s="84"/>
      <c r="Q9" s="84"/>
      <c r="R9" s="51"/>
      <c r="S9" s="85"/>
      <c r="T9" s="85"/>
      <c r="U9" s="52"/>
      <c r="V9" s="52"/>
      <c r="W9" s="52"/>
      <c r="X9" s="52"/>
      <c r="Y9" s="52"/>
      <c r="Z9" s="52"/>
      <c r="AA9" s="79">
        <v>9</v>
      </c>
      <c r="AB9"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9" s="86"/>
      <c r="AD9" s="51"/>
      <c r="AE9" s="51"/>
      <c r="AF9" s="51"/>
      <c r="AG9" s="51"/>
      <c r="AH9" s="51"/>
      <c r="AI9" s="51"/>
      <c r="AJ9" s="51"/>
      <c r="AK9" s="51"/>
      <c r="AL9" s="51"/>
      <c r="AM9" s="51"/>
      <c r="AN9" s="2"/>
      <c r="AO9" s="3"/>
      <c r="AP9" s="3"/>
      <c r="AQ9" s="3"/>
      <c r="AR9" s="3"/>
    </row>
    <row r="10" spans="1:44" x14ac:dyDescent="0.45">
      <c r="A10" s="14" t="s">
        <v>179</v>
      </c>
      <c r="B10" s="15"/>
      <c r="C10" s="15"/>
      <c r="D10" s="81"/>
      <c r="E10" s="78"/>
      <c r="F10" s="15"/>
      <c r="G10" s="15"/>
      <c r="H10" s="14" t="s">
        <v>179</v>
      </c>
      <c r="I10" s="66"/>
      <c r="J10" s="66"/>
      <c r="K10" s="16"/>
      <c r="L10" s="82"/>
      <c r="M10" s="83">
        <v>5931.09130859375</v>
      </c>
      <c r="N10" s="83">
        <v>2560.981689453125</v>
      </c>
      <c r="O10" s="77"/>
      <c r="P10" s="84"/>
      <c r="Q10" s="84"/>
      <c r="R10" s="51"/>
      <c r="S10" s="85"/>
      <c r="T10" s="85"/>
      <c r="U10" s="52"/>
      <c r="V10" s="52"/>
      <c r="W10" s="52"/>
      <c r="X10" s="52"/>
      <c r="Y10" s="52"/>
      <c r="Z10" s="52"/>
      <c r="AA10" s="79">
        <v>10</v>
      </c>
      <c r="AB10"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0" s="86"/>
      <c r="AD10" s="51"/>
      <c r="AE10" s="51"/>
      <c r="AF10" s="51"/>
      <c r="AG10" s="51"/>
      <c r="AH10" s="51"/>
      <c r="AI10" s="51"/>
      <c r="AJ10" s="51"/>
      <c r="AK10" s="51"/>
      <c r="AL10" s="51"/>
      <c r="AM10" s="51"/>
      <c r="AN10" s="2"/>
      <c r="AO10" s="3"/>
      <c r="AP10" s="3"/>
      <c r="AQ10" s="3"/>
      <c r="AR10" s="3"/>
    </row>
    <row r="11" spans="1:44" x14ac:dyDescent="0.45">
      <c r="A11" s="14" t="s">
        <v>192</v>
      </c>
      <c r="B11" s="15"/>
      <c r="C11" s="15"/>
      <c r="D11" s="81"/>
      <c r="E11" s="78"/>
      <c r="F11" s="15"/>
      <c r="G11" s="15"/>
      <c r="H11" s="14" t="s">
        <v>192</v>
      </c>
      <c r="I11" s="66"/>
      <c r="J11" s="66"/>
      <c r="K11" s="16"/>
      <c r="L11" s="82"/>
      <c r="M11" s="83">
        <v>1967.686279296875</v>
      </c>
      <c r="N11" s="83">
        <v>2571.6552734375</v>
      </c>
      <c r="O11" s="77"/>
      <c r="P11" s="84"/>
      <c r="Q11" s="84"/>
      <c r="R11" s="51"/>
      <c r="S11" s="85"/>
      <c r="T11" s="85"/>
      <c r="U11" s="52"/>
      <c r="V11" s="52"/>
      <c r="W11" s="52"/>
      <c r="X11" s="52"/>
      <c r="Y11" s="52"/>
      <c r="Z11" s="52"/>
      <c r="AA11" s="79">
        <v>11</v>
      </c>
      <c r="AB11"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1" s="86"/>
      <c r="AD11" s="51"/>
      <c r="AE11" s="51"/>
      <c r="AF11" s="51"/>
      <c r="AG11" s="51"/>
      <c r="AH11" s="51"/>
      <c r="AI11" s="51"/>
      <c r="AJ11" s="51"/>
      <c r="AK11" s="51"/>
      <c r="AL11" s="51"/>
      <c r="AM11" s="51"/>
      <c r="AN11" s="2"/>
      <c r="AO11" s="3"/>
      <c r="AP11" s="3"/>
      <c r="AQ11" s="3"/>
      <c r="AR11" s="3"/>
    </row>
    <row r="12" spans="1:44" x14ac:dyDescent="0.45">
      <c r="A12" s="50" t="s">
        <v>176</v>
      </c>
      <c r="B12" s="15"/>
      <c r="C12" s="15"/>
      <c r="D12" s="81"/>
      <c r="E12" s="78"/>
      <c r="F12" s="15"/>
      <c r="G12" s="15"/>
      <c r="H12" s="50" t="s">
        <v>176</v>
      </c>
      <c r="I12" s="66"/>
      <c r="J12" s="66"/>
      <c r="K12" s="16"/>
      <c r="L12" s="82"/>
      <c r="M12" s="83">
        <v>4422.12451171875</v>
      </c>
      <c r="N12" s="83">
        <v>5825.98388671875</v>
      </c>
      <c r="O12" s="77"/>
      <c r="P12" s="84"/>
      <c r="Q12" s="84"/>
      <c r="R12" s="51"/>
      <c r="S12" s="85"/>
      <c r="T12" s="85"/>
      <c r="U12" s="52"/>
      <c r="V12" s="52"/>
      <c r="W12" s="52"/>
      <c r="X12" s="52"/>
      <c r="Y12" s="52"/>
      <c r="Z12" s="52"/>
      <c r="AA12" s="79">
        <v>12</v>
      </c>
      <c r="AB12"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2" s="86"/>
      <c r="AD12" s="51"/>
      <c r="AE12" s="51"/>
      <c r="AF12" s="51"/>
      <c r="AG12" s="51"/>
      <c r="AH12" s="51"/>
      <c r="AI12" s="51"/>
      <c r="AJ12" s="51"/>
      <c r="AK12" s="51"/>
      <c r="AL12" s="51"/>
      <c r="AM12" s="51"/>
      <c r="AN12" s="2"/>
      <c r="AO12" s="3"/>
      <c r="AP12" s="3"/>
      <c r="AQ12" s="3"/>
      <c r="AR12" s="3"/>
    </row>
    <row r="13" spans="1:44" x14ac:dyDescent="0.45">
      <c r="A13" s="14" t="s">
        <v>188</v>
      </c>
      <c r="B13" s="15"/>
      <c r="C13" s="15"/>
      <c r="D13" s="81"/>
      <c r="E13" s="78"/>
      <c r="F13" s="15"/>
      <c r="G13" s="15"/>
      <c r="H13" s="14" t="s">
        <v>188</v>
      </c>
      <c r="I13" s="66"/>
      <c r="J13" s="66"/>
      <c r="K13" s="16"/>
      <c r="L13" s="82"/>
      <c r="M13" s="83">
        <v>4939.32861328125</v>
      </c>
      <c r="N13" s="83">
        <v>1037.5906982421875</v>
      </c>
      <c r="O13" s="77"/>
      <c r="P13" s="84"/>
      <c r="Q13" s="84"/>
      <c r="R13" s="51"/>
      <c r="S13" s="85"/>
      <c r="T13" s="85"/>
      <c r="U13" s="52"/>
      <c r="V13" s="52"/>
      <c r="W13" s="52"/>
      <c r="X13" s="52"/>
      <c r="Y13" s="52"/>
      <c r="Z13" s="52"/>
      <c r="AA13" s="79">
        <v>13</v>
      </c>
      <c r="AB13"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3" s="86"/>
      <c r="AD13" s="51"/>
      <c r="AE13" s="51"/>
      <c r="AF13" s="51"/>
      <c r="AG13" s="51"/>
      <c r="AH13" s="51"/>
      <c r="AI13" s="51"/>
      <c r="AJ13" s="51"/>
      <c r="AK13" s="51"/>
      <c r="AL13" s="51"/>
      <c r="AM13" s="51"/>
      <c r="AN13" s="2"/>
      <c r="AO13" s="3"/>
      <c r="AP13" s="3"/>
      <c r="AQ13" s="3"/>
      <c r="AR13" s="3"/>
    </row>
    <row r="14" spans="1:44" x14ac:dyDescent="0.45">
      <c r="A14" s="14" t="s">
        <v>177</v>
      </c>
      <c r="B14" s="15"/>
      <c r="C14" s="15"/>
      <c r="D14" s="81"/>
      <c r="E14" s="78"/>
      <c r="F14" s="15"/>
      <c r="G14" s="15"/>
      <c r="H14" s="14" t="s">
        <v>177</v>
      </c>
      <c r="I14" s="66"/>
      <c r="J14" s="66"/>
      <c r="K14" s="16"/>
      <c r="L14" s="82"/>
      <c r="M14" s="83">
        <v>5083.1337890625</v>
      </c>
      <c r="N14" s="83">
        <v>3054.966552734375</v>
      </c>
      <c r="O14" s="77"/>
      <c r="P14" s="84"/>
      <c r="Q14" s="84"/>
      <c r="R14" s="51"/>
      <c r="S14" s="85"/>
      <c r="T14" s="85"/>
      <c r="U14" s="52"/>
      <c r="V14" s="52"/>
      <c r="W14" s="52"/>
      <c r="X14" s="52"/>
      <c r="Y14" s="52"/>
      <c r="Z14" s="52"/>
      <c r="AA14" s="79">
        <v>14</v>
      </c>
      <c r="AB14"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4" s="86"/>
      <c r="AD14" s="51"/>
      <c r="AE14" s="51"/>
      <c r="AF14" s="51"/>
      <c r="AG14" s="51"/>
      <c r="AH14" s="51"/>
      <c r="AI14" s="51"/>
      <c r="AJ14" s="51"/>
      <c r="AK14" s="51"/>
      <c r="AL14" s="51"/>
      <c r="AM14" s="51"/>
      <c r="AN14" s="2"/>
      <c r="AO14" s="3"/>
      <c r="AP14" s="3"/>
      <c r="AQ14" s="3"/>
      <c r="AR14" s="3"/>
    </row>
    <row r="15" spans="1:44" x14ac:dyDescent="0.45">
      <c r="A15" s="14" t="s">
        <v>178</v>
      </c>
      <c r="B15" s="15"/>
      <c r="C15" s="15"/>
      <c r="D15" s="81"/>
      <c r="E15" s="78"/>
      <c r="F15" s="15"/>
      <c r="G15" s="15"/>
      <c r="H15" s="14" t="s">
        <v>178</v>
      </c>
      <c r="I15" s="66"/>
      <c r="J15" s="66"/>
      <c r="K15" s="16"/>
      <c r="L15" s="82"/>
      <c r="M15" s="83">
        <v>4388.22021484375</v>
      </c>
      <c r="N15" s="83">
        <v>3065.93408203125</v>
      </c>
      <c r="O15" s="77"/>
      <c r="P15" s="84"/>
      <c r="Q15" s="84"/>
      <c r="R15" s="51"/>
      <c r="S15" s="85"/>
      <c r="T15" s="85"/>
      <c r="U15" s="52"/>
      <c r="V15" s="52"/>
      <c r="W15" s="52"/>
      <c r="X15" s="52"/>
      <c r="Y15" s="52"/>
      <c r="Z15" s="52"/>
      <c r="AA15" s="79">
        <v>15</v>
      </c>
      <c r="AB15"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5" s="86"/>
      <c r="AD15" s="51"/>
      <c r="AE15" s="51"/>
      <c r="AF15" s="51"/>
      <c r="AG15" s="51"/>
      <c r="AH15" s="51"/>
      <c r="AI15" s="51"/>
      <c r="AJ15" s="51"/>
      <c r="AK15" s="51"/>
      <c r="AL15" s="51"/>
      <c r="AM15" s="51"/>
      <c r="AN15" s="2"/>
      <c r="AO15" s="3"/>
      <c r="AP15" s="3"/>
      <c r="AQ15" s="3"/>
      <c r="AR15" s="3"/>
    </row>
    <row r="16" spans="1:44" x14ac:dyDescent="0.45">
      <c r="A16" s="14" t="s">
        <v>233</v>
      </c>
      <c r="B16" s="15"/>
      <c r="C16" s="15"/>
      <c r="D16" s="81"/>
      <c r="E16" s="78"/>
      <c r="F16" s="15"/>
      <c r="G16" s="15"/>
      <c r="H16" s="14" t="s">
        <v>233</v>
      </c>
      <c r="I16" s="66"/>
      <c r="J16" s="66"/>
      <c r="K16" s="16"/>
      <c r="L16" s="82"/>
      <c r="M16" s="83">
        <v>8917.896484375</v>
      </c>
      <c r="N16" s="83">
        <v>5926.2255859375</v>
      </c>
      <c r="O16" s="77"/>
      <c r="P16" s="84"/>
      <c r="Q16" s="84"/>
      <c r="R16" s="51"/>
      <c r="S16" s="85"/>
      <c r="T16" s="85"/>
      <c r="U16" s="52"/>
      <c r="V16" s="52"/>
      <c r="W16" s="52"/>
      <c r="X16" s="52"/>
      <c r="Y16" s="52"/>
      <c r="Z16" s="52"/>
      <c r="AA16" s="79">
        <v>16</v>
      </c>
      <c r="AB16"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6" s="86"/>
      <c r="AD16" s="51"/>
      <c r="AE16" s="51"/>
      <c r="AF16" s="51"/>
      <c r="AG16" s="51"/>
      <c r="AH16" s="51"/>
      <c r="AI16" s="51"/>
      <c r="AJ16" s="51"/>
      <c r="AK16" s="51"/>
      <c r="AL16" s="51"/>
      <c r="AM16" s="51"/>
      <c r="AN16" s="2"/>
      <c r="AO16" s="3"/>
      <c r="AP16" s="3"/>
      <c r="AQ16" s="3"/>
      <c r="AR16" s="3"/>
    </row>
    <row r="17" spans="1:44" x14ac:dyDescent="0.45">
      <c r="A17" s="14" t="s">
        <v>190</v>
      </c>
      <c r="B17" s="15"/>
      <c r="C17" s="15"/>
      <c r="D17" s="81"/>
      <c r="E17" s="78"/>
      <c r="F17" s="15"/>
      <c r="G17" s="15"/>
      <c r="H17" s="14" t="s">
        <v>190</v>
      </c>
      <c r="I17" s="66"/>
      <c r="J17" s="66"/>
      <c r="K17" s="16"/>
      <c r="L17" s="82"/>
      <c r="M17" s="83">
        <v>142.02125549316406</v>
      </c>
      <c r="N17" s="83">
        <v>6909.208984375</v>
      </c>
      <c r="O17" s="77"/>
      <c r="P17" s="84"/>
      <c r="Q17" s="84"/>
      <c r="R17" s="51"/>
      <c r="S17" s="85"/>
      <c r="T17" s="85"/>
      <c r="U17" s="52"/>
      <c r="V17" s="52"/>
      <c r="W17" s="52"/>
      <c r="X17" s="52"/>
      <c r="Y17" s="52"/>
      <c r="Z17" s="52"/>
      <c r="AA17" s="79">
        <v>17</v>
      </c>
      <c r="AB17"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7" s="86"/>
      <c r="AD17" s="51"/>
      <c r="AE17" s="51"/>
      <c r="AF17" s="51"/>
      <c r="AG17" s="51"/>
      <c r="AH17" s="51"/>
      <c r="AI17" s="51"/>
      <c r="AJ17" s="51"/>
      <c r="AK17" s="51"/>
      <c r="AL17" s="51"/>
      <c r="AM17" s="51"/>
      <c r="AN17" s="2"/>
      <c r="AO17" s="3"/>
      <c r="AP17" s="3"/>
      <c r="AQ17" s="3"/>
      <c r="AR17" s="3"/>
    </row>
    <row r="18" spans="1:44" x14ac:dyDescent="0.45">
      <c r="A18" s="14" t="s">
        <v>191</v>
      </c>
      <c r="B18" s="15"/>
      <c r="C18" s="15"/>
      <c r="D18" s="81"/>
      <c r="E18" s="78"/>
      <c r="F18" s="15"/>
      <c r="G18" s="15"/>
      <c r="H18" s="14" t="s">
        <v>191</v>
      </c>
      <c r="I18" s="66"/>
      <c r="J18" s="66"/>
      <c r="K18" s="16"/>
      <c r="L18" s="82"/>
      <c r="M18" s="83">
        <v>3413.311767578125</v>
      </c>
      <c r="N18" s="83">
        <v>154.30667114257813</v>
      </c>
      <c r="O18" s="77"/>
      <c r="P18" s="84"/>
      <c r="Q18" s="84"/>
      <c r="R18" s="51"/>
      <c r="S18" s="85"/>
      <c r="T18" s="85"/>
      <c r="U18" s="52"/>
      <c r="V18" s="52"/>
      <c r="W18" s="52"/>
      <c r="X18" s="52"/>
      <c r="Y18" s="52"/>
      <c r="Z18" s="52"/>
      <c r="AA18" s="79">
        <v>18</v>
      </c>
      <c r="AB18"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8" s="86"/>
      <c r="AD18" s="51"/>
      <c r="AE18" s="51"/>
      <c r="AF18" s="51"/>
      <c r="AG18" s="51"/>
      <c r="AH18" s="51"/>
      <c r="AI18" s="51"/>
      <c r="AJ18" s="51"/>
      <c r="AK18" s="51"/>
      <c r="AL18" s="51"/>
      <c r="AM18" s="51"/>
      <c r="AN18" s="2"/>
      <c r="AO18" s="3"/>
      <c r="AP18" s="3"/>
      <c r="AQ18" s="3"/>
      <c r="AR18" s="3"/>
    </row>
    <row r="19" spans="1:44" x14ac:dyDescent="0.45">
      <c r="A19" s="14" t="s">
        <v>179</v>
      </c>
      <c r="B19" s="15"/>
      <c r="C19" s="15"/>
      <c r="D19" s="81"/>
      <c r="E19" s="78"/>
      <c r="F19" s="15"/>
      <c r="G19" s="15"/>
      <c r="H19" s="14" t="s">
        <v>179</v>
      </c>
      <c r="I19" s="66"/>
      <c r="J19" s="66"/>
      <c r="K19" s="16"/>
      <c r="L19" s="82"/>
      <c r="M19" s="83">
        <v>5931.09130859375</v>
      </c>
      <c r="N19" s="83">
        <v>2560.981689453125</v>
      </c>
      <c r="O19" s="77"/>
      <c r="P19" s="84"/>
      <c r="Q19" s="84"/>
      <c r="R19" s="51"/>
      <c r="S19" s="85"/>
      <c r="T19" s="85"/>
      <c r="U19" s="52"/>
      <c r="V19" s="52"/>
      <c r="W19" s="52"/>
      <c r="X19" s="52"/>
      <c r="Y19" s="52"/>
      <c r="Z19" s="52"/>
      <c r="AA19" s="79">
        <v>19</v>
      </c>
      <c r="AB19"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9" s="86"/>
      <c r="AD19" s="51"/>
      <c r="AE19" s="51"/>
      <c r="AF19" s="51"/>
      <c r="AG19" s="51"/>
      <c r="AH19" s="51"/>
      <c r="AI19" s="51"/>
      <c r="AJ19" s="51"/>
      <c r="AK19" s="51"/>
      <c r="AL19" s="51"/>
      <c r="AM19" s="51"/>
      <c r="AN19" s="2"/>
      <c r="AO19" s="3"/>
      <c r="AP19" s="3"/>
      <c r="AQ19" s="3"/>
      <c r="AR19" s="3"/>
    </row>
    <row r="20" spans="1:44" x14ac:dyDescent="0.45">
      <c r="A20" s="14" t="s">
        <v>192</v>
      </c>
      <c r="B20" s="15"/>
      <c r="C20" s="15"/>
      <c r="D20" s="81"/>
      <c r="E20" s="78"/>
      <c r="F20" s="15"/>
      <c r="G20" s="15"/>
      <c r="H20" s="14" t="s">
        <v>192</v>
      </c>
      <c r="I20" s="66"/>
      <c r="J20" s="66"/>
      <c r="K20" s="16"/>
      <c r="L20" s="82"/>
      <c r="M20" s="83">
        <v>1967.686279296875</v>
      </c>
      <c r="N20" s="83">
        <v>2571.6552734375</v>
      </c>
      <c r="O20" s="77"/>
      <c r="P20" s="84"/>
      <c r="Q20" s="84"/>
      <c r="R20" s="51"/>
      <c r="S20" s="85"/>
      <c r="T20" s="85"/>
      <c r="U20" s="52"/>
      <c r="V20" s="52"/>
      <c r="W20" s="52"/>
      <c r="X20" s="52"/>
      <c r="Y20" s="52"/>
      <c r="Z20" s="52"/>
      <c r="AA20" s="79">
        <v>20</v>
      </c>
      <c r="AB20"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20" s="86"/>
      <c r="AD20" s="51"/>
      <c r="AE20" s="51"/>
      <c r="AF20" s="51"/>
      <c r="AG20" s="51"/>
      <c r="AH20" s="51"/>
      <c r="AI20" s="51"/>
      <c r="AJ20" s="51"/>
      <c r="AK20" s="51"/>
      <c r="AL20" s="51"/>
      <c r="AM20" s="51"/>
      <c r="AN20" s="2"/>
      <c r="AO20" s="3"/>
      <c r="AP20" s="3"/>
      <c r="AQ20" s="3"/>
      <c r="AR20" s="3"/>
    </row>
    <row r="21" spans="1:44" x14ac:dyDescent="0.45">
      <c r="A21" s="50" t="s">
        <v>176</v>
      </c>
      <c r="B21" s="15"/>
      <c r="C21" s="15"/>
      <c r="D21" s="81"/>
      <c r="E21" s="78"/>
      <c r="F21" s="15"/>
      <c r="G21" s="15"/>
      <c r="H21" s="50" t="s">
        <v>176</v>
      </c>
      <c r="I21" s="66"/>
      <c r="J21" s="66"/>
      <c r="K21" s="16"/>
      <c r="L21" s="82"/>
      <c r="M21" s="83">
        <v>4422.12451171875</v>
      </c>
      <c r="N21" s="83">
        <v>5825.98388671875</v>
      </c>
      <c r="O21" s="77"/>
      <c r="P21" s="84"/>
      <c r="Q21" s="84"/>
      <c r="R21" s="51"/>
      <c r="S21" s="85"/>
      <c r="T21" s="85"/>
      <c r="U21" s="52"/>
      <c r="V21" s="52"/>
      <c r="W21" s="52"/>
      <c r="X21" s="52"/>
      <c r="Y21" s="52"/>
      <c r="Z21" s="52"/>
      <c r="AA21" s="79">
        <v>21</v>
      </c>
      <c r="AB21"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21" s="86"/>
      <c r="AD21" s="51"/>
      <c r="AE21" s="51"/>
      <c r="AF21" s="51"/>
      <c r="AG21" s="51"/>
      <c r="AH21" s="51"/>
      <c r="AI21" s="51"/>
      <c r="AJ21" s="51"/>
      <c r="AK21" s="51"/>
      <c r="AL21" s="51"/>
      <c r="AM21" s="51"/>
      <c r="AN21" s="2"/>
      <c r="AO21" s="3"/>
      <c r="AP21" s="3"/>
      <c r="AQ21" s="3"/>
      <c r="AR21" s="3"/>
    </row>
    <row r="22" spans="1:44" x14ac:dyDescent="0.45">
      <c r="A22" s="14" t="s">
        <v>188</v>
      </c>
      <c r="B22" s="15"/>
      <c r="C22" s="15"/>
      <c r="D22" s="81"/>
      <c r="E22" s="78"/>
      <c r="F22" s="15"/>
      <c r="G22" s="15"/>
      <c r="H22" s="14" t="s">
        <v>188</v>
      </c>
      <c r="I22" s="66"/>
      <c r="J22" s="66"/>
      <c r="K22" s="16"/>
      <c r="L22" s="82"/>
      <c r="M22" s="83">
        <v>4939.32861328125</v>
      </c>
      <c r="N22" s="83">
        <v>1037.5906982421875</v>
      </c>
      <c r="O22" s="77"/>
      <c r="P22" s="84"/>
      <c r="Q22" s="84"/>
      <c r="R22" s="51"/>
      <c r="S22" s="85"/>
      <c r="T22" s="85"/>
      <c r="U22" s="52"/>
      <c r="V22" s="52"/>
      <c r="W22" s="52"/>
      <c r="X22" s="52"/>
      <c r="Y22" s="52"/>
      <c r="Z22" s="52"/>
      <c r="AA22" s="79">
        <v>22</v>
      </c>
      <c r="AB22"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22" s="86"/>
      <c r="AD22" s="51"/>
      <c r="AE22" s="51"/>
      <c r="AF22" s="51"/>
      <c r="AG22" s="51"/>
      <c r="AH22" s="51"/>
      <c r="AI22" s="51"/>
      <c r="AJ22" s="51"/>
      <c r="AK22" s="51"/>
      <c r="AL22" s="51"/>
      <c r="AM22" s="51"/>
      <c r="AN22" s="2"/>
      <c r="AO22" s="3"/>
      <c r="AP22" s="3"/>
      <c r="AQ22" s="3"/>
      <c r="AR22" s="3"/>
    </row>
    <row r="23" spans="1:44" x14ac:dyDescent="0.45">
      <c r="A23" s="14" t="s">
        <v>177</v>
      </c>
      <c r="B23" s="15"/>
      <c r="C23" s="15"/>
      <c r="D23" s="81"/>
      <c r="E23" s="78"/>
      <c r="F23" s="15"/>
      <c r="G23" s="15"/>
      <c r="H23" s="14" t="s">
        <v>177</v>
      </c>
      <c r="I23" s="66"/>
      <c r="J23" s="66"/>
      <c r="K23" s="16"/>
      <c r="L23" s="82"/>
      <c r="M23" s="83">
        <v>5083.1337890625</v>
      </c>
      <c r="N23" s="83">
        <v>3054.966552734375</v>
      </c>
      <c r="O23" s="77"/>
      <c r="P23" s="84"/>
      <c r="Q23" s="84"/>
      <c r="R23" s="51"/>
      <c r="S23" s="85"/>
      <c r="T23" s="85"/>
      <c r="U23" s="52"/>
      <c r="V23" s="52"/>
      <c r="W23" s="52"/>
      <c r="X23" s="52"/>
      <c r="Y23" s="52"/>
      <c r="Z23" s="52"/>
      <c r="AA23" s="79">
        <v>23</v>
      </c>
      <c r="AB23"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23" s="86"/>
      <c r="AD23" s="51"/>
      <c r="AE23" s="51"/>
      <c r="AF23" s="51"/>
      <c r="AG23" s="51"/>
      <c r="AH23" s="51"/>
      <c r="AI23" s="51"/>
      <c r="AJ23" s="51"/>
      <c r="AK23" s="51"/>
      <c r="AL23" s="51"/>
      <c r="AM23" s="51"/>
      <c r="AN23" s="2"/>
      <c r="AO23" s="3"/>
      <c r="AP23" s="3"/>
      <c r="AQ23" s="3"/>
      <c r="AR23" s="3"/>
    </row>
    <row r="24" spans="1:44" x14ac:dyDescent="0.45">
      <c r="A24" s="14" t="s">
        <v>178</v>
      </c>
      <c r="B24" s="15"/>
      <c r="C24" s="15"/>
      <c r="D24" s="81"/>
      <c r="E24" s="78"/>
      <c r="F24" s="15"/>
      <c r="G24" s="15"/>
      <c r="H24" s="14" t="s">
        <v>178</v>
      </c>
      <c r="I24" s="66"/>
      <c r="J24" s="66"/>
      <c r="K24" s="16"/>
      <c r="L24" s="82"/>
      <c r="M24" s="83">
        <v>4388.22021484375</v>
      </c>
      <c r="N24" s="83">
        <v>3065.93408203125</v>
      </c>
      <c r="O24" s="77"/>
      <c r="P24" s="84"/>
      <c r="Q24" s="84"/>
      <c r="R24" s="51"/>
      <c r="S24" s="85"/>
      <c r="T24" s="85"/>
      <c r="U24" s="52"/>
      <c r="V24" s="52"/>
      <c r="W24" s="52"/>
      <c r="X24" s="52"/>
      <c r="Y24" s="52"/>
      <c r="Z24" s="52"/>
      <c r="AA24" s="79">
        <v>24</v>
      </c>
      <c r="AB24"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24" s="86"/>
      <c r="AD24" s="51"/>
      <c r="AE24" s="51"/>
      <c r="AF24" s="51"/>
      <c r="AG24" s="51"/>
      <c r="AH24" s="51"/>
      <c r="AI24" s="51"/>
      <c r="AJ24" s="51"/>
      <c r="AK24" s="51"/>
      <c r="AL24" s="51"/>
      <c r="AM24" s="51"/>
      <c r="AN24" s="2"/>
      <c r="AO24" s="3"/>
      <c r="AP24" s="3"/>
      <c r="AQ24" s="3"/>
      <c r="AR24" s="3"/>
    </row>
    <row r="25" spans="1:44" x14ac:dyDescent="0.45">
      <c r="A25" s="14" t="s">
        <v>234</v>
      </c>
      <c r="B25" s="15"/>
      <c r="C25" s="15"/>
      <c r="D25" s="81"/>
      <c r="E25" s="78"/>
      <c r="F25" s="15"/>
      <c r="G25" s="15"/>
      <c r="H25" s="14" t="s">
        <v>234</v>
      </c>
      <c r="I25" s="66"/>
      <c r="J25" s="66"/>
      <c r="K25" s="16"/>
      <c r="L25" s="82"/>
      <c r="M25" s="83">
        <v>2933.87890625</v>
      </c>
      <c r="N25" s="83">
        <v>2043.695068359375</v>
      </c>
      <c r="O25" s="77"/>
      <c r="P25" s="84"/>
      <c r="Q25" s="84"/>
      <c r="R25" s="51"/>
      <c r="S25" s="85"/>
      <c r="T25" s="85"/>
      <c r="U25" s="52"/>
      <c r="V25" s="52"/>
      <c r="W25" s="52"/>
      <c r="X25" s="52"/>
      <c r="Y25" s="52"/>
      <c r="Z25" s="52"/>
      <c r="AA25" s="79">
        <v>25</v>
      </c>
      <c r="AB25"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25" s="86"/>
      <c r="AD25" s="51"/>
      <c r="AE25" s="51"/>
      <c r="AF25" s="51"/>
      <c r="AG25" s="51"/>
      <c r="AH25" s="51"/>
      <c r="AI25" s="51"/>
      <c r="AJ25" s="51"/>
      <c r="AK25" s="51"/>
      <c r="AL25" s="51"/>
      <c r="AM25" s="51"/>
      <c r="AN25" s="2"/>
      <c r="AO25" s="3"/>
      <c r="AP25" s="3"/>
      <c r="AQ25" s="3"/>
      <c r="AR25" s="3"/>
    </row>
    <row r="26" spans="1:44" x14ac:dyDescent="0.45">
      <c r="A26" s="14" t="s">
        <v>190</v>
      </c>
      <c r="B26" s="15"/>
      <c r="C26" s="15"/>
      <c r="D26" s="81"/>
      <c r="E26" s="78"/>
      <c r="F26" s="15"/>
      <c r="G26" s="15"/>
      <c r="H26" s="14" t="s">
        <v>190</v>
      </c>
      <c r="I26" s="66"/>
      <c r="J26" s="66"/>
      <c r="K26" s="16"/>
      <c r="L26" s="82"/>
      <c r="M26" s="83">
        <v>142.02125549316406</v>
      </c>
      <c r="N26" s="83">
        <v>6909.208984375</v>
      </c>
      <c r="O26" s="77"/>
      <c r="P26" s="84"/>
      <c r="Q26" s="84"/>
      <c r="R26" s="51"/>
      <c r="S26" s="85"/>
      <c r="T26" s="85"/>
      <c r="U26" s="52"/>
      <c r="V26" s="52"/>
      <c r="W26" s="52"/>
      <c r="X26" s="52"/>
      <c r="Y26" s="52"/>
      <c r="Z26" s="52"/>
      <c r="AA26" s="79">
        <v>26</v>
      </c>
      <c r="AB26"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26" s="86"/>
      <c r="AD26" s="51"/>
      <c r="AE26" s="51"/>
      <c r="AF26" s="51"/>
      <c r="AG26" s="51"/>
      <c r="AH26" s="51"/>
      <c r="AI26" s="51"/>
      <c r="AJ26" s="51"/>
      <c r="AK26" s="51"/>
      <c r="AL26" s="51"/>
      <c r="AM26" s="51"/>
      <c r="AN26" s="2"/>
      <c r="AO26" s="3"/>
      <c r="AP26" s="3"/>
      <c r="AQ26" s="3"/>
      <c r="AR26" s="3"/>
    </row>
    <row r="27" spans="1:44" x14ac:dyDescent="0.45">
      <c r="A27" s="14" t="s">
        <v>191</v>
      </c>
      <c r="B27" s="15"/>
      <c r="C27" s="15"/>
      <c r="D27" s="81"/>
      <c r="E27" s="78"/>
      <c r="F27" s="15"/>
      <c r="G27" s="15"/>
      <c r="H27" s="14" t="s">
        <v>191</v>
      </c>
      <c r="I27" s="66"/>
      <c r="J27" s="66"/>
      <c r="K27" s="16"/>
      <c r="L27" s="82"/>
      <c r="M27" s="83">
        <v>3413.311767578125</v>
      </c>
      <c r="N27" s="83">
        <v>154.30667114257813</v>
      </c>
      <c r="O27" s="77"/>
      <c r="P27" s="84"/>
      <c r="Q27" s="84"/>
      <c r="R27" s="51"/>
      <c r="S27" s="85"/>
      <c r="T27" s="85"/>
      <c r="U27" s="52"/>
      <c r="V27" s="52"/>
      <c r="W27" s="52"/>
      <c r="X27" s="52"/>
      <c r="Y27" s="52"/>
      <c r="Z27" s="52"/>
      <c r="AA27" s="79">
        <v>27</v>
      </c>
      <c r="AB27"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27" s="86"/>
      <c r="AD27" s="51"/>
      <c r="AE27" s="51"/>
      <c r="AF27" s="51"/>
      <c r="AG27" s="51"/>
      <c r="AH27" s="51"/>
      <c r="AI27" s="51"/>
      <c r="AJ27" s="51"/>
      <c r="AK27" s="51"/>
      <c r="AL27" s="51"/>
      <c r="AM27" s="51"/>
      <c r="AN27" s="2"/>
      <c r="AO27" s="3"/>
      <c r="AP27" s="3"/>
      <c r="AQ27" s="3"/>
      <c r="AR27" s="3"/>
    </row>
    <row r="28" spans="1:44" x14ac:dyDescent="0.45">
      <c r="A28" s="14" t="s">
        <v>179</v>
      </c>
      <c r="B28" s="15"/>
      <c r="C28" s="15"/>
      <c r="D28" s="81"/>
      <c r="E28" s="78"/>
      <c r="F28" s="15"/>
      <c r="G28" s="15"/>
      <c r="H28" s="14" t="s">
        <v>179</v>
      </c>
      <c r="I28" s="66"/>
      <c r="J28" s="66"/>
      <c r="K28" s="16"/>
      <c r="L28" s="82"/>
      <c r="M28" s="83">
        <v>5931.09130859375</v>
      </c>
      <c r="N28" s="83">
        <v>2560.981689453125</v>
      </c>
      <c r="O28" s="77"/>
      <c r="P28" s="84"/>
      <c r="Q28" s="84"/>
      <c r="R28" s="51"/>
      <c r="S28" s="85"/>
      <c r="T28" s="85"/>
      <c r="U28" s="52"/>
      <c r="V28" s="52"/>
      <c r="W28" s="52"/>
      <c r="X28" s="52"/>
      <c r="Y28" s="52"/>
      <c r="Z28" s="52"/>
      <c r="AA28" s="79">
        <v>28</v>
      </c>
      <c r="AB28"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28" s="86"/>
      <c r="AD28" s="51"/>
      <c r="AE28" s="51"/>
      <c r="AF28" s="51"/>
      <c r="AG28" s="51"/>
      <c r="AH28" s="51"/>
      <c r="AI28" s="51"/>
      <c r="AJ28" s="51"/>
      <c r="AK28" s="51"/>
      <c r="AL28" s="51"/>
      <c r="AM28" s="51"/>
      <c r="AN28" s="2"/>
      <c r="AO28" s="3"/>
      <c r="AP28" s="3"/>
      <c r="AQ28" s="3"/>
      <c r="AR28" s="3"/>
    </row>
    <row r="29" spans="1:44" x14ac:dyDescent="0.45">
      <c r="A29" s="14" t="s">
        <v>192</v>
      </c>
      <c r="B29" s="15"/>
      <c r="C29" s="15"/>
      <c r="D29" s="81"/>
      <c r="E29" s="78"/>
      <c r="F29" s="15"/>
      <c r="G29" s="15"/>
      <c r="H29" s="14" t="s">
        <v>192</v>
      </c>
      <c r="I29" s="66"/>
      <c r="J29" s="66"/>
      <c r="K29" s="16"/>
      <c r="L29" s="82"/>
      <c r="M29" s="83">
        <v>1967.686279296875</v>
      </c>
      <c r="N29" s="83">
        <v>2571.6552734375</v>
      </c>
      <c r="O29" s="77"/>
      <c r="P29" s="84"/>
      <c r="Q29" s="84"/>
      <c r="R29" s="51"/>
      <c r="S29" s="85"/>
      <c r="T29" s="85"/>
      <c r="U29" s="52"/>
      <c r="V29" s="52"/>
      <c r="W29" s="52"/>
      <c r="X29" s="52"/>
      <c r="Y29" s="52"/>
      <c r="Z29" s="52"/>
      <c r="AA29" s="79">
        <v>29</v>
      </c>
      <c r="AB29"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29" s="86"/>
      <c r="AD29" s="51"/>
      <c r="AE29" s="51"/>
      <c r="AF29" s="51"/>
      <c r="AG29" s="51"/>
      <c r="AH29" s="51"/>
      <c r="AI29" s="51"/>
      <c r="AJ29" s="51"/>
      <c r="AK29" s="51"/>
      <c r="AL29" s="51"/>
      <c r="AM29" s="51"/>
      <c r="AN29" s="2"/>
      <c r="AO29" s="3"/>
      <c r="AP29" s="3"/>
      <c r="AQ29" s="3"/>
      <c r="AR29" s="3"/>
    </row>
    <row r="30" spans="1:44" x14ac:dyDescent="0.45">
      <c r="A30" s="50" t="s">
        <v>176</v>
      </c>
      <c r="B30" s="15"/>
      <c r="C30" s="15"/>
      <c r="D30" s="81"/>
      <c r="E30" s="78"/>
      <c r="F30" s="15"/>
      <c r="G30" s="15"/>
      <c r="H30" s="50" t="s">
        <v>176</v>
      </c>
      <c r="I30" s="66"/>
      <c r="J30" s="66"/>
      <c r="K30" s="16"/>
      <c r="L30" s="82"/>
      <c r="M30" s="83">
        <v>4422.12451171875</v>
      </c>
      <c r="N30" s="83">
        <v>5825.98388671875</v>
      </c>
      <c r="O30" s="77"/>
      <c r="P30" s="84"/>
      <c r="Q30" s="84"/>
      <c r="R30" s="51"/>
      <c r="S30" s="85"/>
      <c r="T30" s="85"/>
      <c r="U30" s="52"/>
      <c r="V30" s="52"/>
      <c r="W30" s="52"/>
      <c r="X30" s="52"/>
      <c r="Y30" s="52"/>
      <c r="Z30" s="52"/>
      <c r="AA30" s="79">
        <v>30</v>
      </c>
      <c r="AB30"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30" s="86"/>
      <c r="AD30" s="51"/>
      <c r="AE30" s="51"/>
      <c r="AF30" s="51"/>
      <c r="AG30" s="51"/>
      <c r="AH30" s="51"/>
      <c r="AI30" s="51"/>
      <c r="AJ30" s="51"/>
      <c r="AK30" s="51"/>
      <c r="AL30" s="51"/>
      <c r="AM30" s="51"/>
      <c r="AN30" s="2"/>
      <c r="AO30" s="3"/>
      <c r="AP30" s="3"/>
      <c r="AQ30" s="3"/>
      <c r="AR30" s="3"/>
    </row>
    <row r="31" spans="1:44" x14ac:dyDescent="0.45">
      <c r="A31" s="14" t="s">
        <v>188</v>
      </c>
      <c r="B31" s="15"/>
      <c r="C31" s="15"/>
      <c r="D31" s="81"/>
      <c r="E31" s="78"/>
      <c r="F31" s="15"/>
      <c r="G31" s="15"/>
      <c r="H31" s="14" t="s">
        <v>188</v>
      </c>
      <c r="I31" s="66"/>
      <c r="J31" s="66"/>
      <c r="K31" s="16"/>
      <c r="L31" s="82"/>
      <c r="M31" s="83">
        <v>4939.32861328125</v>
      </c>
      <c r="N31" s="83">
        <v>1037.5906982421875</v>
      </c>
      <c r="O31" s="77"/>
      <c r="P31" s="84"/>
      <c r="Q31" s="84"/>
      <c r="R31" s="51"/>
      <c r="S31" s="85"/>
      <c r="T31" s="85"/>
      <c r="U31" s="52"/>
      <c r="V31" s="52"/>
      <c r="W31" s="52"/>
      <c r="X31" s="52"/>
      <c r="Y31" s="52"/>
      <c r="Z31" s="52"/>
      <c r="AA31" s="79">
        <v>31</v>
      </c>
      <c r="AB31"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31" s="86"/>
      <c r="AD31" s="51"/>
      <c r="AE31" s="51"/>
      <c r="AF31" s="51"/>
      <c r="AG31" s="51"/>
      <c r="AH31" s="51"/>
      <c r="AI31" s="51"/>
      <c r="AJ31" s="51"/>
      <c r="AK31" s="51"/>
      <c r="AL31" s="51"/>
      <c r="AM31" s="51"/>
      <c r="AN31" s="2"/>
      <c r="AO31" s="3"/>
      <c r="AP31" s="3"/>
      <c r="AQ31" s="3"/>
      <c r="AR31" s="3"/>
    </row>
    <row r="32" spans="1:44" x14ac:dyDescent="0.45">
      <c r="A32" s="14" t="s">
        <v>177</v>
      </c>
      <c r="B32" s="15"/>
      <c r="C32" s="15"/>
      <c r="D32" s="81"/>
      <c r="E32" s="78"/>
      <c r="F32" s="15"/>
      <c r="G32" s="15"/>
      <c r="H32" s="14" t="s">
        <v>177</v>
      </c>
      <c r="I32" s="66"/>
      <c r="J32" s="66"/>
      <c r="K32" s="16"/>
      <c r="L32" s="82"/>
      <c r="M32" s="83">
        <v>5083.1337890625</v>
      </c>
      <c r="N32" s="83">
        <v>3054.966552734375</v>
      </c>
      <c r="O32" s="77"/>
      <c r="P32" s="84"/>
      <c r="Q32" s="84"/>
      <c r="R32" s="51"/>
      <c r="S32" s="85"/>
      <c r="T32" s="85"/>
      <c r="U32" s="52"/>
      <c r="V32" s="52"/>
      <c r="W32" s="52"/>
      <c r="X32" s="52"/>
      <c r="Y32" s="52"/>
      <c r="Z32" s="52"/>
      <c r="AA32" s="79">
        <v>32</v>
      </c>
      <c r="AB32"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32" s="86"/>
      <c r="AD32" s="51"/>
      <c r="AE32" s="51"/>
      <c r="AF32" s="51"/>
      <c r="AG32" s="51"/>
      <c r="AH32" s="51"/>
      <c r="AI32" s="51"/>
      <c r="AJ32" s="51"/>
      <c r="AK32" s="51"/>
      <c r="AL32" s="51"/>
      <c r="AM32" s="51"/>
      <c r="AN32" s="2"/>
      <c r="AO32" s="3"/>
      <c r="AP32" s="3"/>
      <c r="AQ32" s="3"/>
      <c r="AR32" s="3"/>
    </row>
    <row r="33" spans="1:44" x14ac:dyDescent="0.45">
      <c r="A33" s="14" t="s">
        <v>178</v>
      </c>
      <c r="B33" s="15"/>
      <c r="C33" s="15"/>
      <c r="D33" s="81"/>
      <c r="E33" s="78"/>
      <c r="F33" s="15"/>
      <c r="G33" s="15"/>
      <c r="H33" s="14" t="s">
        <v>178</v>
      </c>
      <c r="I33" s="66"/>
      <c r="J33" s="66"/>
      <c r="K33" s="16"/>
      <c r="L33" s="82"/>
      <c r="M33" s="83">
        <v>4388.22021484375</v>
      </c>
      <c r="N33" s="83">
        <v>3065.93408203125</v>
      </c>
      <c r="O33" s="77"/>
      <c r="P33" s="84"/>
      <c r="Q33" s="84"/>
      <c r="R33" s="51"/>
      <c r="S33" s="85"/>
      <c r="T33" s="85"/>
      <c r="U33" s="52"/>
      <c r="V33" s="52"/>
      <c r="W33" s="52"/>
      <c r="X33" s="52"/>
      <c r="Y33" s="52"/>
      <c r="Z33" s="52"/>
      <c r="AA33" s="79">
        <v>33</v>
      </c>
      <c r="AB33"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33" s="86"/>
      <c r="AD33" s="51"/>
      <c r="AE33" s="51"/>
      <c r="AF33" s="51"/>
      <c r="AG33" s="51"/>
      <c r="AH33" s="51"/>
      <c r="AI33" s="51"/>
      <c r="AJ33" s="51"/>
      <c r="AK33" s="51"/>
      <c r="AL33" s="51"/>
      <c r="AM33" s="51"/>
      <c r="AN33" s="2"/>
      <c r="AO33" s="3"/>
      <c r="AP33" s="3"/>
      <c r="AQ33" s="3"/>
      <c r="AR33" s="3"/>
    </row>
    <row r="34" spans="1:44" x14ac:dyDescent="0.45">
      <c r="A34" s="14" t="s">
        <v>235</v>
      </c>
      <c r="B34" s="15"/>
      <c r="C34" s="15"/>
      <c r="D34" s="81"/>
      <c r="E34" s="78"/>
      <c r="F34" s="15"/>
      <c r="G34" s="15"/>
      <c r="H34" s="14" t="s">
        <v>235</v>
      </c>
      <c r="I34" s="66"/>
      <c r="J34" s="66"/>
      <c r="K34" s="16"/>
      <c r="L34" s="82"/>
      <c r="M34" s="83">
        <v>802.01153564453125</v>
      </c>
      <c r="N34" s="83">
        <v>7630.94970703125</v>
      </c>
      <c r="O34" s="77"/>
      <c r="P34" s="84"/>
      <c r="Q34" s="84"/>
      <c r="R34" s="51"/>
      <c r="S34" s="85"/>
      <c r="T34" s="85"/>
      <c r="U34" s="52"/>
      <c r="V34" s="52"/>
      <c r="W34" s="52"/>
      <c r="X34" s="52"/>
      <c r="Y34" s="52"/>
      <c r="Z34" s="52"/>
      <c r="AA34" s="79">
        <v>34</v>
      </c>
      <c r="AB34"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34" s="86"/>
      <c r="AD34" s="51"/>
      <c r="AE34" s="51"/>
      <c r="AF34" s="51"/>
      <c r="AG34" s="51"/>
      <c r="AH34" s="51"/>
      <c r="AI34" s="51"/>
      <c r="AJ34" s="51"/>
      <c r="AK34" s="51"/>
      <c r="AL34" s="51"/>
      <c r="AM34" s="51"/>
      <c r="AN34" s="2"/>
      <c r="AO34" s="3"/>
      <c r="AP34" s="3"/>
      <c r="AQ34" s="3"/>
      <c r="AR34" s="3"/>
    </row>
    <row r="35" spans="1:44" x14ac:dyDescent="0.45">
      <c r="A35" s="14" t="s">
        <v>190</v>
      </c>
      <c r="B35" s="15"/>
      <c r="C35" s="15"/>
      <c r="D35" s="81"/>
      <c r="E35" s="78"/>
      <c r="F35" s="15"/>
      <c r="G35" s="15"/>
      <c r="H35" s="14" t="s">
        <v>190</v>
      </c>
      <c r="I35" s="66"/>
      <c r="J35" s="66"/>
      <c r="K35" s="16"/>
      <c r="L35" s="82"/>
      <c r="M35" s="83">
        <v>142.02125549316406</v>
      </c>
      <c r="N35" s="83">
        <v>6909.208984375</v>
      </c>
      <c r="O35" s="77"/>
      <c r="P35" s="84"/>
      <c r="Q35" s="84"/>
      <c r="R35" s="51"/>
      <c r="S35" s="85"/>
      <c r="T35" s="85"/>
      <c r="U35" s="52"/>
      <c r="V35" s="52"/>
      <c r="W35" s="52"/>
      <c r="X35" s="52"/>
      <c r="Y35" s="52"/>
      <c r="Z35" s="52"/>
      <c r="AA35" s="79">
        <v>35</v>
      </c>
      <c r="AB35"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35" s="86"/>
      <c r="AD35" s="51"/>
      <c r="AE35" s="51"/>
      <c r="AF35" s="51"/>
      <c r="AG35" s="51"/>
      <c r="AH35" s="51"/>
      <c r="AI35" s="51"/>
      <c r="AJ35" s="51"/>
      <c r="AK35" s="51"/>
      <c r="AL35" s="51"/>
      <c r="AM35" s="51"/>
      <c r="AN35" s="2"/>
      <c r="AO35" s="3"/>
      <c r="AP35" s="3"/>
      <c r="AQ35" s="3"/>
      <c r="AR35" s="3"/>
    </row>
    <row r="36" spans="1:44" x14ac:dyDescent="0.45">
      <c r="A36" s="14" t="s">
        <v>191</v>
      </c>
      <c r="B36" s="15"/>
      <c r="C36" s="15"/>
      <c r="D36" s="81"/>
      <c r="E36" s="78"/>
      <c r="F36" s="15"/>
      <c r="G36" s="15"/>
      <c r="H36" s="14" t="s">
        <v>191</v>
      </c>
      <c r="I36" s="66"/>
      <c r="J36" s="66"/>
      <c r="K36" s="16"/>
      <c r="L36" s="82"/>
      <c r="M36" s="83">
        <v>3413.311767578125</v>
      </c>
      <c r="N36" s="83">
        <v>154.30667114257813</v>
      </c>
      <c r="O36" s="77"/>
      <c r="P36" s="84"/>
      <c r="Q36" s="84"/>
      <c r="R36" s="51"/>
      <c r="S36" s="85"/>
      <c r="T36" s="85"/>
      <c r="U36" s="52"/>
      <c r="V36" s="52"/>
      <c r="W36" s="52"/>
      <c r="X36" s="52"/>
      <c r="Y36" s="52"/>
      <c r="Z36" s="52"/>
      <c r="AA36" s="79">
        <v>36</v>
      </c>
      <c r="AB36"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36" s="86"/>
      <c r="AD36" s="51"/>
      <c r="AE36" s="51"/>
      <c r="AF36" s="51"/>
      <c r="AG36" s="51"/>
      <c r="AH36" s="51"/>
      <c r="AI36" s="51"/>
      <c r="AJ36" s="51"/>
      <c r="AK36" s="51"/>
      <c r="AL36" s="51"/>
      <c r="AM36" s="51"/>
      <c r="AN36" s="2"/>
      <c r="AO36" s="3"/>
      <c r="AP36" s="3"/>
      <c r="AQ36" s="3"/>
      <c r="AR36" s="3"/>
    </row>
    <row r="37" spans="1:44" x14ac:dyDescent="0.45">
      <c r="A37" s="14" t="s">
        <v>179</v>
      </c>
      <c r="B37" s="15"/>
      <c r="C37" s="15"/>
      <c r="D37" s="81"/>
      <c r="E37" s="78"/>
      <c r="F37" s="15"/>
      <c r="G37" s="15"/>
      <c r="H37" s="14" t="s">
        <v>179</v>
      </c>
      <c r="I37" s="66"/>
      <c r="J37" s="66"/>
      <c r="K37" s="16"/>
      <c r="L37" s="82"/>
      <c r="M37" s="83">
        <v>5931.09130859375</v>
      </c>
      <c r="N37" s="83">
        <v>2560.981689453125</v>
      </c>
      <c r="O37" s="77"/>
      <c r="P37" s="84"/>
      <c r="Q37" s="84"/>
      <c r="R37" s="51"/>
      <c r="S37" s="85"/>
      <c r="T37" s="85"/>
      <c r="U37" s="52"/>
      <c r="V37" s="52"/>
      <c r="W37" s="52"/>
      <c r="X37" s="52"/>
      <c r="Y37" s="52"/>
      <c r="Z37" s="52"/>
      <c r="AA37" s="79">
        <v>37</v>
      </c>
      <c r="AB37"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37" s="86"/>
      <c r="AD37" s="51"/>
      <c r="AE37" s="51"/>
      <c r="AF37" s="51"/>
      <c r="AG37" s="51"/>
      <c r="AH37" s="51"/>
      <c r="AI37" s="51"/>
      <c r="AJ37" s="51"/>
      <c r="AK37" s="51"/>
      <c r="AL37" s="51"/>
      <c r="AM37" s="51"/>
      <c r="AN37" s="2"/>
      <c r="AO37" s="3"/>
      <c r="AP37" s="3"/>
      <c r="AQ37" s="3"/>
      <c r="AR37" s="3"/>
    </row>
    <row r="38" spans="1:44" x14ac:dyDescent="0.45">
      <c r="A38" s="14" t="s">
        <v>192</v>
      </c>
      <c r="B38" s="15"/>
      <c r="C38" s="15"/>
      <c r="D38" s="81"/>
      <c r="E38" s="78"/>
      <c r="F38" s="15"/>
      <c r="G38" s="15"/>
      <c r="H38" s="14" t="s">
        <v>192</v>
      </c>
      <c r="I38" s="66"/>
      <c r="J38" s="66"/>
      <c r="K38" s="16"/>
      <c r="L38" s="82"/>
      <c r="M38" s="83">
        <v>1967.686279296875</v>
      </c>
      <c r="N38" s="83">
        <v>2571.6552734375</v>
      </c>
      <c r="O38" s="77"/>
      <c r="P38" s="84"/>
      <c r="Q38" s="84"/>
      <c r="R38" s="51"/>
      <c r="S38" s="85"/>
      <c r="T38" s="85"/>
      <c r="U38" s="52"/>
      <c r="V38" s="52"/>
      <c r="W38" s="52"/>
      <c r="X38" s="52"/>
      <c r="Y38" s="52"/>
      <c r="Z38" s="52"/>
      <c r="AA38" s="79">
        <v>38</v>
      </c>
      <c r="AB38"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38" s="86"/>
      <c r="AD38" s="51"/>
      <c r="AE38" s="51"/>
      <c r="AF38" s="51"/>
      <c r="AG38" s="51"/>
      <c r="AH38" s="51"/>
      <c r="AI38" s="51"/>
      <c r="AJ38" s="51"/>
      <c r="AK38" s="51"/>
      <c r="AL38" s="51"/>
      <c r="AM38" s="51"/>
      <c r="AN38" s="2"/>
      <c r="AO38" s="3"/>
      <c r="AP38" s="3"/>
      <c r="AQ38" s="3"/>
      <c r="AR38" s="3"/>
    </row>
    <row r="39" spans="1:44" x14ac:dyDescent="0.45">
      <c r="A39" s="50" t="s">
        <v>176</v>
      </c>
      <c r="B39" s="15"/>
      <c r="C39" s="15"/>
      <c r="D39" s="81"/>
      <c r="E39" s="78"/>
      <c r="F39" s="15"/>
      <c r="G39" s="15"/>
      <c r="H39" s="50" t="s">
        <v>176</v>
      </c>
      <c r="I39" s="66"/>
      <c r="J39" s="66"/>
      <c r="K39" s="16"/>
      <c r="L39" s="82"/>
      <c r="M39" s="83">
        <v>4422.12451171875</v>
      </c>
      <c r="N39" s="83">
        <v>5825.98388671875</v>
      </c>
      <c r="O39" s="77"/>
      <c r="P39" s="84"/>
      <c r="Q39" s="84"/>
      <c r="R39" s="51"/>
      <c r="S39" s="85"/>
      <c r="T39" s="85"/>
      <c r="U39" s="52"/>
      <c r="V39" s="52"/>
      <c r="W39" s="52"/>
      <c r="X39" s="52"/>
      <c r="Y39" s="52"/>
      <c r="Z39" s="52"/>
      <c r="AA39" s="79">
        <v>39</v>
      </c>
      <c r="AB39"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39" s="86"/>
      <c r="AD39" s="51"/>
      <c r="AE39" s="51"/>
      <c r="AF39" s="51"/>
      <c r="AG39" s="51"/>
      <c r="AH39" s="51"/>
      <c r="AI39" s="51"/>
      <c r="AJ39" s="51"/>
      <c r="AK39" s="51"/>
      <c r="AL39" s="51"/>
      <c r="AM39" s="51"/>
      <c r="AN39" s="2"/>
      <c r="AO39" s="3"/>
      <c r="AP39" s="3"/>
      <c r="AQ39" s="3"/>
      <c r="AR39" s="3"/>
    </row>
    <row r="40" spans="1:44" x14ac:dyDescent="0.45">
      <c r="A40" s="14" t="s">
        <v>188</v>
      </c>
      <c r="B40" s="15"/>
      <c r="C40" s="15"/>
      <c r="D40" s="81"/>
      <c r="E40" s="78"/>
      <c r="F40" s="15"/>
      <c r="G40" s="15"/>
      <c r="H40" s="14" t="s">
        <v>188</v>
      </c>
      <c r="I40" s="66"/>
      <c r="J40" s="66"/>
      <c r="K40" s="16"/>
      <c r="L40" s="82"/>
      <c r="M40" s="83">
        <v>4939.32861328125</v>
      </c>
      <c r="N40" s="83">
        <v>1037.5906982421875</v>
      </c>
      <c r="O40" s="77"/>
      <c r="P40" s="84"/>
      <c r="Q40" s="84"/>
      <c r="R40" s="51"/>
      <c r="S40" s="85"/>
      <c r="T40" s="85"/>
      <c r="U40" s="52"/>
      <c r="V40" s="52"/>
      <c r="W40" s="52"/>
      <c r="X40" s="52"/>
      <c r="Y40" s="52"/>
      <c r="Z40" s="52"/>
      <c r="AA40" s="79">
        <v>40</v>
      </c>
      <c r="AB40"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40" s="86"/>
      <c r="AD40" s="51"/>
      <c r="AE40" s="51"/>
      <c r="AF40" s="51"/>
      <c r="AG40" s="51"/>
      <c r="AH40" s="51"/>
      <c r="AI40" s="51"/>
      <c r="AJ40" s="51"/>
      <c r="AK40" s="51"/>
      <c r="AL40" s="51"/>
      <c r="AM40" s="51"/>
      <c r="AN40" s="2"/>
      <c r="AO40" s="3"/>
      <c r="AP40" s="3"/>
      <c r="AQ40" s="3"/>
      <c r="AR40" s="3"/>
    </row>
    <row r="41" spans="1:44" x14ac:dyDescent="0.45">
      <c r="A41" s="14" t="s">
        <v>177</v>
      </c>
      <c r="B41" s="15"/>
      <c r="C41" s="15"/>
      <c r="D41" s="81"/>
      <c r="E41" s="78"/>
      <c r="F41" s="15"/>
      <c r="G41" s="15"/>
      <c r="H41" s="14" t="s">
        <v>177</v>
      </c>
      <c r="I41" s="66"/>
      <c r="J41" s="66"/>
      <c r="K41" s="16"/>
      <c r="L41" s="82"/>
      <c r="M41" s="83">
        <v>5083.1337890625</v>
      </c>
      <c r="N41" s="83">
        <v>3054.966552734375</v>
      </c>
      <c r="O41" s="77"/>
      <c r="P41" s="84"/>
      <c r="Q41" s="84"/>
      <c r="R41" s="51"/>
      <c r="S41" s="85"/>
      <c r="T41" s="85"/>
      <c r="U41" s="52"/>
      <c r="V41" s="52"/>
      <c r="W41" s="52"/>
      <c r="X41" s="52"/>
      <c r="Y41" s="52"/>
      <c r="Z41" s="52"/>
      <c r="AA41" s="79">
        <v>41</v>
      </c>
      <c r="AB41"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41" s="86"/>
      <c r="AD41" s="51"/>
      <c r="AE41" s="51"/>
      <c r="AF41" s="51"/>
      <c r="AG41" s="51"/>
      <c r="AH41" s="51"/>
      <c r="AI41" s="51"/>
      <c r="AJ41" s="51"/>
      <c r="AK41" s="51"/>
      <c r="AL41" s="51"/>
      <c r="AM41" s="51"/>
      <c r="AN41" s="2"/>
      <c r="AO41" s="3"/>
      <c r="AP41" s="3"/>
      <c r="AQ41" s="3"/>
      <c r="AR41" s="3"/>
    </row>
    <row r="42" spans="1:44" x14ac:dyDescent="0.45">
      <c r="A42" s="14" t="s">
        <v>178</v>
      </c>
      <c r="B42" s="15"/>
      <c r="C42" s="15"/>
      <c r="D42" s="81"/>
      <c r="E42" s="78"/>
      <c r="F42" s="15"/>
      <c r="G42" s="15"/>
      <c r="H42" s="14" t="s">
        <v>178</v>
      </c>
      <c r="I42" s="66"/>
      <c r="J42" s="66"/>
      <c r="K42" s="16"/>
      <c r="L42" s="82"/>
      <c r="M42" s="83">
        <v>4388.22021484375</v>
      </c>
      <c r="N42" s="83">
        <v>3065.93408203125</v>
      </c>
      <c r="O42" s="77"/>
      <c r="P42" s="84"/>
      <c r="Q42" s="84"/>
      <c r="R42" s="51"/>
      <c r="S42" s="85"/>
      <c r="T42" s="85"/>
      <c r="U42" s="52"/>
      <c r="V42" s="52"/>
      <c r="W42" s="52"/>
      <c r="X42" s="52"/>
      <c r="Y42" s="52"/>
      <c r="Z42" s="52"/>
      <c r="AA42" s="79">
        <v>42</v>
      </c>
      <c r="AB42"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42" s="86"/>
      <c r="AD42" s="51"/>
      <c r="AE42" s="51"/>
      <c r="AF42" s="51"/>
      <c r="AG42" s="51"/>
      <c r="AH42" s="51"/>
      <c r="AI42" s="51"/>
      <c r="AJ42" s="51"/>
      <c r="AK42" s="51"/>
      <c r="AL42" s="51"/>
      <c r="AM42" s="51"/>
      <c r="AN42" s="2"/>
      <c r="AO42" s="3"/>
      <c r="AP42" s="3"/>
      <c r="AQ42" s="3"/>
      <c r="AR42" s="3"/>
    </row>
    <row r="43" spans="1:44" x14ac:dyDescent="0.45">
      <c r="A43" s="14" t="s">
        <v>236</v>
      </c>
      <c r="B43" s="15"/>
      <c r="C43" s="15"/>
      <c r="D43" s="81"/>
      <c r="E43" s="78"/>
      <c r="F43" s="15"/>
      <c r="G43" s="15"/>
      <c r="H43" s="14" t="s">
        <v>236</v>
      </c>
      <c r="I43" s="66"/>
      <c r="J43" s="66"/>
      <c r="K43" s="16"/>
      <c r="L43" s="82"/>
      <c r="M43" s="83">
        <v>3379.071044921875</v>
      </c>
      <c r="N43" s="83">
        <v>7955.9404296875</v>
      </c>
      <c r="O43" s="77"/>
      <c r="P43" s="84"/>
      <c r="Q43" s="84"/>
      <c r="R43" s="51"/>
      <c r="S43" s="85"/>
      <c r="T43" s="85"/>
      <c r="U43" s="52"/>
      <c r="V43" s="52"/>
      <c r="W43" s="52"/>
      <c r="X43" s="52"/>
      <c r="Y43" s="52"/>
      <c r="Z43" s="52"/>
      <c r="AA43" s="79">
        <v>43</v>
      </c>
      <c r="AB43"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43" s="86"/>
      <c r="AD43" s="51"/>
      <c r="AE43" s="51"/>
      <c r="AF43" s="51"/>
      <c r="AG43" s="51"/>
      <c r="AH43" s="51"/>
      <c r="AI43" s="51"/>
      <c r="AJ43" s="51"/>
      <c r="AK43" s="51"/>
      <c r="AL43" s="51"/>
      <c r="AM43" s="51"/>
      <c r="AN43" s="2"/>
      <c r="AO43" s="3"/>
      <c r="AP43" s="3"/>
      <c r="AQ43" s="3"/>
      <c r="AR43" s="3"/>
    </row>
    <row r="44" spans="1:44" x14ac:dyDescent="0.45">
      <c r="A44" s="14" t="s">
        <v>190</v>
      </c>
      <c r="B44" s="15"/>
      <c r="C44" s="15"/>
      <c r="D44" s="81"/>
      <c r="E44" s="78"/>
      <c r="F44" s="15"/>
      <c r="G44" s="15"/>
      <c r="H44" s="14" t="s">
        <v>190</v>
      </c>
      <c r="I44" s="66"/>
      <c r="J44" s="66"/>
      <c r="K44" s="16"/>
      <c r="L44" s="82"/>
      <c r="M44" s="83">
        <v>142.02125549316406</v>
      </c>
      <c r="N44" s="83">
        <v>6909.208984375</v>
      </c>
      <c r="O44" s="77"/>
      <c r="P44" s="84"/>
      <c r="Q44" s="84"/>
      <c r="R44" s="51"/>
      <c r="S44" s="85"/>
      <c r="T44" s="85"/>
      <c r="U44" s="52"/>
      <c r="V44" s="52"/>
      <c r="W44" s="52"/>
      <c r="X44" s="52"/>
      <c r="Y44" s="52"/>
      <c r="Z44" s="52"/>
      <c r="AA44" s="79">
        <v>44</v>
      </c>
      <c r="AB44"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44" s="86"/>
      <c r="AD44" s="51"/>
      <c r="AE44" s="51"/>
      <c r="AF44" s="51"/>
      <c r="AG44" s="51"/>
      <c r="AH44" s="51"/>
      <c r="AI44" s="51"/>
      <c r="AJ44" s="51"/>
      <c r="AK44" s="51"/>
      <c r="AL44" s="51"/>
      <c r="AM44" s="51"/>
      <c r="AN44" s="2"/>
      <c r="AO44" s="3"/>
      <c r="AP44" s="3"/>
      <c r="AQ44" s="3"/>
      <c r="AR44" s="3"/>
    </row>
    <row r="45" spans="1:44" x14ac:dyDescent="0.45">
      <c r="A45" s="14" t="s">
        <v>191</v>
      </c>
      <c r="B45" s="15"/>
      <c r="C45" s="15"/>
      <c r="D45" s="81"/>
      <c r="E45" s="78"/>
      <c r="F45" s="15"/>
      <c r="G45" s="15"/>
      <c r="H45" s="14" t="s">
        <v>191</v>
      </c>
      <c r="I45" s="66"/>
      <c r="J45" s="66"/>
      <c r="K45" s="16"/>
      <c r="L45" s="82"/>
      <c r="M45" s="83">
        <v>3413.311767578125</v>
      </c>
      <c r="N45" s="83">
        <v>154.30667114257813</v>
      </c>
      <c r="O45" s="77"/>
      <c r="P45" s="84"/>
      <c r="Q45" s="84"/>
      <c r="R45" s="51"/>
      <c r="S45" s="85"/>
      <c r="T45" s="85"/>
      <c r="U45" s="52"/>
      <c r="V45" s="52"/>
      <c r="W45" s="52"/>
      <c r="X45" s="52"/>
      <c r="Y45" s="52"/>
      <c r="Z45" s="52"/>
      <c r="AA45" s="79">
        <v>45</v>
      </c>
      <c r="AB45"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45" s="86"/>
      <c r="AD45" s="51"/>
      <c r="AE45" s="51"/>
      <c r="AF45" s="51"/>
      <c r="AG45" s="51"/>
      <c r="AH45" s="51"/>
      <c r="AI45" s="51"/>
      <c r="AJ45" s="51"/>
      <c r="AK45" s="51"/>
      <c r="AL45" s="51"/>
      <c r="AM45" s="51"/>
      <c r="AN45" s="2"/>
      <c r="AO45" s="3"/>
      <c r="AP45" s="3"/>
      <c r="AQ45" s="3"/>
      <c r="AR45" s="3"/>
    </row>
    <row r="46" spans="1:44" x14ac:dyDescent="0.45">
      <c r="A46" s="14" t="s">
        <v>179</v>
      </c>
      <c r="B46" s="15"/>
      <c r="C46" s="15"/>
      <c r="D46" s="81"/>
      <c r="E46" s="78"/>
      <c r="F46" s="15"/>
      <c r="G46" s="15"/>
      <c r="H46" s="14" t="s">
        <v>179</v>
      </c>
      <c r="I46" s="66"/>
      <c r="J46" s="66"/>
      <c r="K46" s="16"/>
      <c r="L46" s="82"/>
      <c r="M46" s="83">
        <v>5931.09130859375</v>
      </c>
      <c r="N46" s="83">
        <v>2560.981689453125</v>
      </c>
      <c r="O46" s="77"/>
      <c r="P46" s="84"/>
      <c r="Q46" s="84"/>
      <c r="R46" s="51"/>
      <c r="S46" s="85"/>
      <c r="T46" s="85"/>
      <c r="U46" s="52"/>
      <c r="V46" s="52"/>
      <c r="W46" s="52"/>
      <c r="X46" s="52"/>
      <c r="Y46" s="52"/>
      <c r="Z46" s="52"/>
      <c r="AA46" s="79">
        <v>46</v>
      </c>
      <c r="AB46"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46" s="86"/>
      <c r="AD46" s="51"/>
      <c r="AE46" s="51"/>
      <c r="AF46" s="51"/>
      <c r="AG46" s="51"/>
      <c r="AH46" s="51"/>
      <c r="AI46" s="51"/>
      <c r="AJ46" s="51"/>
      <c r="AK46" s="51"/>
      <c r="AL46" s="51"/>
      <c r="AM46" s="51"/>
      <c r="AN46" s="2"/>
      <c r="AO46" s="3"/>
      <c r="AP46" s="3"/>
      <c r="AQ46" s="3"/>
      <c r="AR46" s="3"/>
    </row>
    <row r="47" spans="1:44" x14ac:dyDescent="0.45">
      <c r="A47" s="14" t="s">
        <v>192</v>
      </c>
      <c r="B47" s="15"/>
      <c r="C47" s="15"/>
      <c r="D47" s="81"/>
      <c r="E47" s="78"/>
      <c r="F47" s="15"/>
      <c r="G47" s="15"/>
      <c r="H47" s="14" t="s">
        <v>192</v>
      </c>
      <c r="I47" s="66"/>
      <c r="J47" s="66"/>
      <c r="K47" s="16"/>
      <c r="L47" s="82"/>
      <c r="M47" s="83">
        <v>1967.686279296875</v>
      </c>
      <c r="N47" s="83">
        <v>2571.6552734375</v>
      </c>
      <c r="O47" s="77"/>
      <c r="P47" s="84"/>
      <c r="Q47" s="84"/>
      <c r="R47" s="51"/>
      <c r="S47" s="85"/>
      <c r="T47" s="85"/>
      <c r="U47" s="52"/>
      <c r="V47" s="52"/>
      <c r="W47" s="52"/>
      <c r="X47" s="52"/>
      <c r="Y47" s="52"/>
      <c r="Z47" s="52"/>
      <c r="AA47" s="79">
        <v>47</v>
      </c>
      <c r="AB47"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47" s="86"/>
      <c r="AD47" s="51"/>
      <c r="AE47" s="51"/>
      <c r="AF47" s="51"/>
      <c r="AG47" s="51"/>
      <c r="AH47" s="51"/>
      <c r="AI47" s="51"/>
      <c r="AJ47" s="51"/>
      <c r="AK47" s="51"/>
      <c r="AL47" s="51"/>
      <c r="AM47" s="51"/>
      <c r="AN47" s="2"/>
      <c r="AO47" s="3"/>
      <c r="AP47" s="3"/>
      <c r="AQ47" s="3"/>
      <c r="AR47" s="3"/>
    </row>
    <row r="48" spans="1:44" x14ac:dyDescent="0.45">
      <c r="A48" s="50" t="s">
        <v>176</v>
      </c>
      <c r="B48" s="15"/>
      <c r="C48" s="15"/>
      <c r="D48" s="81"/>
      <c r="E48" s="78"/>
      <c r="F48" s="15"/>
      <c r="G48" s="15"/>
      <c r="H48" s="50" t="s">
        <v>176</v>
      </c>
      <c r="I48" s="66"/>
      <c r="J48" s="66"/>
      <c r="K48" s="16"/>
      <c r="L48" s="82"/>
      <c r="M48" s="83">
        <v>4422.12451171875</v>
      </c>
      <c r="N48" s="83">
        <v>5825.98388671875</v>
      </c>
      <c r="O48" s="77"/>
      <c r="P48" s="84"/>
      <c r="Q48" s="84"/>
      <c r="R48" s="51"/>
      <c r="S48" s="85"/>
      <c r="T48" s="85"/>
      <c r="U48" s="52"/>
      <c r="V48" s="52"/>
      <c r="W48" s="52"/>
      <c r="X48" s="52"/>
      <c r="Y48" s="52"/>
      <c r="Z48" s="52"/>
      <c r="AA48" s="79">
        <v>48</v>
      </c>
      <c r="AB48"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48" s="86"/>
      <c r="AD48" s="51"/>
      <c r="AE48" s="51"/>
      <c r="AF48" s="51"/>
      <c r="AG48" s="51"/>
      <c r="AH48" s="51"/>
      <c r="AI48" s="51"/>
      <c r="AJ48" s="51"/>
      <c r="AK48" s="51"/>
      <c r="AL48" s="51"/>
      <c r="AM48" s="51"/>
      <c r="AN48" s="2"/>
      <c r="AO48" s="3"/>
      <c r="AP48" s="3"/>
      <c r="AQ48" s="3"/>
      <c r="AR48" s="3"/>
    </row>
    <row r="49" spans="1:44" x14ac:dyDescent="0.45">
      <c r="A49" s="14" t="s">
        <v>188</v>
      </c>
      <c r="B49" s="15"/>
      <c r="C49" s="15"/>
      <c r="D49" s="81"/>
      <c r="E49" s="78"/>
      <c r="F49" s="15"/>
      <c r="G49" s="15"/>
      <c r="H49" s="14" t="s">
        <v>188</v>
      </c>
      <c r="I49" s="66"/>
      <c r="J49" s="66"/>
      <c r="K49" s="16"/>
      <c r="L49" s="82"/>
      <c r="M49" s="83">
        <v>4939.32861328125</v>
      </c>
      <c r="N49" s="83">
        <v>1037.5906982421875</v>
      </c>
      <c r="O49" s="77"/>
      <c r="P49" s="84"/>
      <c r="Q49" s="84"/>
      <c r="R49" s="51"/>
      <c r="S49" s="85"/>
      <c r="T49" s="85"/>
      <c r="U49" s="52"/>
      <c r="V49" s="52"/>
      <c r="W49" s="52"/>
      <c r="X49" s="52"/>
      <c r="Y49" s="52"/>
      <c r="Z49" s="52"/>
      <c r="AA49" s="79">
        <v>49</v>
      </c>
      <c r="AB49"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49" s="86"/>
      <c r="AD49" s="51"/>
      <c r="AE49" s="51"/>
      <c r="AF49" s="51"/>
      <c r="AG49" s="51"/>
      <c r="AH49" s="51"/>
      <c r="AI49" s="51"/>
      <c r="AJ49" s="51"/>
      <c r="AK49" s="51"/>
      <c r="AL49" s="51"/>
      <c r="AM49" s="51"/>
      <c r="AN49" s="2"/>
      <c r="AO49" s="3"/>
      <c r="AP49" s="3"/>
      <c r="AQ49" s="3"/>
      <c r="AR49" s="3"/>
    </row>
    <row r="50" spans="1:44" x14ac:dyDescent="0.45">
      <c r="A50" s="14" t="s">
        <v>177</v>
      </c>
      <c r="B50" s="15"/>
      <c r="C50" s="15"/>
      <c r="D50" s="81"/>
      <c r="E50" s="78"/>
      <c r="F50" s="15"/>
      <c r="G50" s="15"/>
      <c r="H50" s="14" t="s">
        <v>177</v>
      </c>
      <c r="I50" s="66"/>
      <c r="J50" s="66"/>
      <c r="K50" s="16"/>
      <c r="L50" s="82"/>
      <c r="M50" s="83">
        <v>5083.1337890625</v>
      </c>
      <c r="N50" s="83">
        <v>3054.966552734375</v>
      </c>
      <c r="O50" s="77"/>
      <c r="P50" s="84"/>
      <c r="Q50" s="84"/>
      <c r="R50" s="51"/>
      <c r="S50" s="85"/>
      <c r="T50" s="85"/>
      <c r="U50" s="52"/>
      <c r="V50" s="52"/>
      <c r="W50" s="52"/>
      <c r="X50" s="52"/>
      <c r="Y50" s="52"/>
      <c r="Z50" s="52"/>
      <c r="AA50" s="79">
        <v>50</v>
      </c>
      <c r="AB50"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50" s="86"/>
      <c r="AD50" s="51"/>
      <c r="AE50" s="51"/>
      <c r="AF50" s="51"/>
      <c r="AG50" s="51"/>
      <c r="AH50" s="51"/>
      <c r="AI50" s="51"/>
      <c r="AJ50" s="51"/>
      <c r="AK50" s="51"/>
      <c r="AL50" s="51"/>
      <c r="AM50" s="51"/>
      <c r="AN50" s="2"/>
      <c r="AO50" s="3"/>
      <c r="AP50" s="3"/>
      <c r="AQ50" s="3"/>
      <c r="AR50" s="3"/>
    </row>
    <row r="51" spans="1:44" x14ac:dyDescent="0.45">
      <c r="A51" s="14" t="s">
        <v>178</v>
      </c>
      <c r="B51" s="15"/>
      <c r="C51" s="15"/>
      <c r="D51" s="81"/>
      <c r="E51" s="78"/>
      <c r="F51" s="15"/>
      <c r="G51" s="15"/>
      <c r="H51" s="14" t="s">
        <v>178</v>
      </c>
      <c r="I51" s="66"/>
      <c r="J51" s="66"/>
      <c r="K51" s="16"/>
      <c r="L51" s="82"/>
      <c r="M51" s="83">
        <v>4388.22021484375</v>
      </c>
      <c r="N51" s="83">
        <v>3065.93408203125</v>
      </c>
      <c r="O51" s="77"/>
      <c r="P51" s="84"/>
      <c r="Q51" s="84"/>
      <c r="R51" s="51"/>
      <c r="S51" s="85"/>
      <c r="T51" s="85"/>
      <c r="U51" s="52"/>
      <c r="V51" s="52"/>
      <c r="W51" s="52"/>
      <c r="X51" s="52"/>
      <c r="Y51" s="52"/>
      <c r="Z51" s="52"/>
      <c r="AA51" s="79">
        <v>51</v>
      </c>
      <c r="AB51"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51" s="86"/>
      <c r="AD51" s="51"/>
      <c r="AE51" s="51"/>
      <c r="AF51" s="51"/>
      <c r="AG51" s="51"/>
      <c r="AH51" s="51"/>
      <c r="AI51" s="51"/>
      <c r="AJ51" s="51"/>
      <c r="AK51" s="51"/>
      <c r="AL51" s="51"/>
      <c r="AM51" s="51"/>
      <c r="AN51" s="2"/>
      <c r="AO51" s="3"/>
      <c r="AP51" s="3"/>
      <c r="AQ51" s="3"/>
      <c r="AR51" s="3"/>
    </row>
    <row r="52" spans="1:44" x14ac:dyDescent="0.45">
      <c r="A52" s="14" t="s">
        <v>237</v>
      </c>
      <c r="B52" s="15"/>
      <c r="C52" s="15"/>
      <c r="D52" s="81"/>
      <c r="E52" s="78"/>
      <c r="F52" s="15"/>
      <c r="G52" s="15"/>
      <c r="H52" s="14" t="s">
        <v>237</v>
      </c>
      <c r="I52" s="66"/>
      <c r="J52" s="66"/>
      <c r="K52" s="16"/>
      <c r="L52" s="82"/>
      <c r="M52" s="83">
        <v>2835.349609375</v>
      </c>
      <c r="N52" s="83">
        <v>9138.8896484375</v>
      </c>
      <c r="O52" s="77"/>
      <c r="P52" s="84"/>
      <c r="Q52" s="84"/>
      <c r="R52" s="51"/>
      <c r="S52" s="85"/>
      <c r="T52" s="85"/>
      <c r="U52" s="52"/>
      <c r="V52" s="52"/>
      <c r="W52" s="52"/>
      <c r="X52" s="52"/>
      <c r="Y52" s="52"/>
      <c r="Z52" s="52"/>
      <c r="AA52" s="79">
        <v>52</v>
      </c>
      <c r="AB52"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52" s="86"/>
      <c r="AD52" s="51"/>
      <c r="AE52" s="51"/>
      <c r="AF52" s="51"/>
      <c r="AG52" s="51"/>
      <c r="AH52" s="51"/>
      <c r="AI52" s="51"/>
      <c r="AJ52" s="51"/>
      <c r="AK52" s="51"/>
      <c r="AL52" s="51"/>
      <c r="AM52" s="51"/>
      <c r="AN52" s="2"/>
      <c r="AO52" s="3"/>
      <c r="AP52" s="3"/>
      <c r="AQ52" s="3"/>
      <c r="AR52" s="3"/>
    </row>
    <row r="53" spans="1:44" x14ac:dyDescent="0.45">
      <c r="A53" s="14" t="s">
        <v>190</v>
      </c>
      <c r="B53" s="15" t="s">
        <v>278</v>
      </c>
      <c r="C53" s="15"/>
      <c r="D53" s="81">
        <v>1.5</v>
      </c>
      <c r="E53" s="78"/>
      <c r="F53" s="15"/>
      <c r="G53" s="15"/>
      <c r="H53" s="14" t="s">
        <v>190</v>
      </c>
      <c r="I53" s="66"/>
      <c r="J53" s="66"/>
      <c r="K53" s="16"/>
      <c r="L53" s="82"/>
      <c r="M53" s="83">
        <v>142.02125549316406</v>
      </c>
      <c r="N53" s="83">
        <v>6909.208984375</v>
      </c>
      <c r="O53" s="77"/>
      <c r="P53" s="84"/>
      <c r="Q53" s="84"/>
      <c r="R53" s="51">
        <v>1</v>
      </c>
      <c r="S53" s="85"/>
      <c r="T53" s="85"/>
      <c r="U53" s="52">
        <v>0</v>
      </c>
      <c r="V53" s="52">
        <v>6.757E-3</v>
      </c>
      <c r="W53" s="52">
        <v>3.3949E-2</v>
      </c>
      <c r="X53" s="52">
        <v>0.50815399999999999</v>
      </c>
      <c r="Y53" s="52">
        <v>0</v>
      </c>
      <c r="Z53" s="52"/>
      <c r="AA53" s="79">
        <v>53</v>
      </c>
      <c r="AB53"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53" s="86"/>
      <c r="AD53" s="51"/>
      <c r="AE53" s="51"/>
      <c r="AF53" s="51"/>
      <c r="AG53" s="51"/>
      <c r="AH53" s="51"/>
      <c r="AI53" s="51"/>
      <c r="AJ53" s="51"/>
      <c r="AK53" s="51"/>
      <c r="AL53" s="51"/>
      <c r="AM53" s="51"/>
      <c r="AN53" s="2"/>
      <c r="AO53" s="3"/>
      <c r="AP53" s="3"/>
      <c r="AQ53" s="3"/>
      <c r="AR53" s="3"/>
    </row>
    <row r="54" spans="1:44" x14ac:dyDescent="0.45">
      <c r="A54" s="14" t="s">
        <v>191</v>
      </c>
      <c r="B54" s="15" t="s">
        <v>279</v>
      </c>
      <c r="C54" s="15"/>
      <c r="D54" s="81">
        <v>1.78112543717755</v>
      </c>
      <c r="E54" s="78"/>
      <c r="F54" s="15"/>
      <c r="G54" s="15"/>
      <c r="H54" s="14" t="s">
        <v>191</v>
      </c>
      <c r="I54" s="66"/>
      <c r="J54" s="66"/>
      <c r="K54" s="16"/>
      <c r="L54" s="82"/>
      <c r="M54" s="83">
        <v>3413.311767578125</v>
      </c>
      <c r="N54" s="83">
        <v>154.30667114257813</v>
      </c>
      <c r="O54" s="77"/>
      <c r="P54" s="84"/>
      <c r="Q54" s="84"/>
      <c r="R54" s="51">
        <v>2</v>
      </c>
      <c r="S54" s="85"/>
      <c r="T54" s="85"/>
      <c r="U54" s="52">
        <v>36.333333000000003</v>
      </c>
      <c r="V54" s="52">
        <v>7.5760000000000003E-3</v>
      </c>
      <c r="W54" s="52">
        <v>4.0534000000000001E-2</v>
      </c>
      <c r="X54" s="52">
        <v>0.84026599999999996</v>
      </c>
      <c r="Y54" s="52">
        <v>0</v>
      </c>
      <c r="Z54" s="52"/>
      <c r="AA54" s="79">
        <v>54</v>
      </c>
      <c r="AB54"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54" s="86"/>
      <c r="AD54" s="51"/>
      <c r="AE54" s="51"/>
      <c r="AF54" s="51"/>
      <c r="AG54" s="51"/>
      <c r="AH54" s="51"/>
      <c r="AI54" s="51"/>
      <c r="AJ54" s="51"/>
      <c r="AK54" s="51"/>
      <c r="AL54" s="51"/>
      <c r="AM54" s="51"/>
      <c r="AN54" s="2"/>
      <c r="AO54" s="3"/>
      <c r="AP54" s="3"/>
      <c r="AQ54" s="3"/>
      <c r="AR54" s="3"/>
    </row>
    <row r="55" spans="1:44" x14ac:dyDescent="0.45">
      <c r="A55" s="14" t="s">
        <v>179</v>
      </c>
      <c r="B55" s="15" t="s">
        <v>280</v>
      </c>
      <c r="C55" s="15"/>
      <c r="D55" s="81">
        <v>2.2041031656291223</v>
      </c>
      <c r="E55" s="78"/>
      <c r="F55" s="15"/>
      <c r="G55" s="15"/>
      <c r="H55" s="14" t="s">
        <v>179</v>
      </c>
      <c r="I55" s="66"/>
      <c r="J55" s="66"/>
      <c r="K55" s="16"/>
      <c r="L55" s="82"/>
      <c r="M55" s="83">
        <v>5931.09130859375</v>
      </c>
      <c r="N55" s="83">
        <v>2560.981689453125</v>
      </c>
      <c r="O55" s="77"/>
      <c r="P55" s="84"/>
      <c r="Q55" s="84"/>
      <c r="R55" s="51">
        <v>3</v>
      </c>
      <c r="S55" s="85"/>
      <c r="T55" s="85"/>
      <c r="U55" s="52">
        <v>91</v>
      </c>
      <c r="V55" s="52">
        <v>5.4349999999999997E-3</v>
      </c>
      <c r="W55" s="52">
        <v>8.5999999999999998E-4</v>
      </c>
      <c r="X55" s="52">
        <v>1.4310419999999999</v>
      </c>
      <c r="Y55" s="52">
        <v>0</v>
      </c>
      <c r="Z55" s="52"/>
      <c r="AA55" s="79">
        <v>55</v>
      </c>
      <c r="AB55"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55" s="86"/>
      <c r="AD55" s="51"/>
      <c r="AE55" s="51"/>
      <c r="AF55" s="51"/>
      <c r="AG55" s="51"/>
      <c r="AH55" s="51"/>
      <c r="AI55" s="51"/>
      <c r="AJ55" s="104" t="s">
        <v>274</v>
      </c>
      <c r="AK55" s="104" t="s">
        <v>274</v>
      </c>
      <c r="AL55" s="104" t="s">
        <v>274</v>
      </c>
      <c r="AM55" s="104" t="s">
        <v>274</v>
      </c>
      <c r="AN55" s="2"/>
      <c r="AO55" s="3"/>
      <c r="AP55" s="3"/>
      <c r="AQ55" s="3"/>
      <c r="AR55" s="3"/>
    </row>
    <row r="56" spans="1:44" x14ac:dyDescent="0.45">
      <c r="A56" s="14" t="s">
        <v>192</v>
      </c>
      <c r="B56" s="15" t="s">
        <v>278</v>
      </c>
      <c r="C56" s="15"/>
      <c r="D56" s="81">
        <v>1.5</v>
      </c>
      <c r="E56" s="78"/>
      <c r="F56" s="15"/>
      <c r="G56" s="15"/>
      <c r="H56" s="14" t="s">
        <v>192</v>
      </c>
      <c r="I56" s="66"/>
      <c r="J56" s="66"/>
      <c r="K56" s="16"/>
      <c r="L56" s="82"/>
      <c r="M56" s="83">
        <v>1967.686279296875</v>
      </c>
      <c r="N56" s="83">
        <v>2571.6552734375</v>
      </c>
      <c r="O56" s="77"/>
      <c r="P56" s="84"/>
      <c r="Q56" s="84"/>
      <c r="R56" s="51">
        <v>1</v>
      </c>
      <c r="S56" s="85"/>
      <c r="T56" s="85"/>
      <c r="U56" s="52">
        <v>0</v>
      </c>
      <c r="V56" s="52">
        <v>4.3480000000000003E-3</v>
      </c>
      <c r="W56" s="52">
        <v>5.9299999999999999E-4</v>
      </c>
      <c r="X56" s="52">
        <v>0.55546200000000001</v>
      </c>
      <c r="Y56" s="52">
        <v>0</v>
      </c>
      <c r="Z56" s="52"/>
      <c r="AA56" s="79">
        <v>56</v>
      </c>
      <c r="AB56"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56" s="86"/>
      <c r="AD56" s="51"/>
      <c r="AE56" s="51"/>
      <c r="AF56" s="51"/>
      <c r="AG56" s="51"/>
      <c r="AH56" s="51"/>
      <c r="AI56" s="51"/>
      <c r="AJ56" s="51"/>
      <c r="AK56" s="51"/>
      <c r="AL56" s="51"/>
      <c r="AM56" s="51"/>
      <c r="AN56" s="2"/>
      <c r="AO56" s="3"/>
      <c r="AP56" s="3"/>
      <c r="AQ56" s="3"/>
      <c r="AR56" s="3"/>
    </row>
    <row r="57" spans="1:44" x14ac:dyDescent="0.45">
      <c r="A57" s="50" t="s">
        <v>176</v>
      </c>
      <c r="B57" s="15" t="s">
        <v>281</v>
      </c>
      <c r="C57" s="15"/>
      <c r="D57" s="81">
        <v>7</v>
      </c>
      <c r="E57" s="78"/>
      <c r="F57" s="15"/>
      <c r="G57" s="15"/>
      <c r="H57" s="50" t="s">
        <v>176</v>
      </c>
      <c r="I57" s="66"/>
      <c r="J57" s="66"/>
      <c r="K57" s="16"/>
      <c r="L57" s="82"/>
      <c r="M57" s="83">
        <v>4422.12451171875</v>
      </c>
      <c r="N57" s="83">
        <v>5825.98388671875</v>
      </c>
      <c r="O57" s="77"/>
      <c r="P57" s="84"/>
      <c r="Q57" s="84"/>
      <c r="R57" s="51">
        <v>23</v>
      </c>
      <c r="S57" s="85"/>
      <c r="T57" s="85"/>
      <c r="U57" s="52">
        <v>710.83333300000004</v>
      </c>
      <c r="V57" s="52">
        <v>9.8040000000000002E-3</v>
      </c>
      <c r="W57" s="52">
        <v>4.9227E-2</v>
      </c>
      <c r="X57" s="52">
        <v>9.6912219999999998</v>
      </c>
      <c r="Y57" s="52">
        <v>0</v>
      </c>
      <c r="Z57" s="52"/>
      <c r="AA57" s="79">
        <v>57</v>
      </c>
      <c r="AB57"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57" s="86"/>
      <c r="AD57" s="51"/>
      <c r="AE57" s="51"/>
      <c r="AF57" s="51"/>
      <c r="AG57" s="51"/>
      <c r="AH57" s="51"/>
      <c r="AI57" s="51"/>
      <c r="AJ57" s="104" t="s">
        <v>274</v>
      </c>
      <c r="AK57" s="104" t="s">
        <v>274</v>
      </c>
      <c r="AL57" s="104" t="s">
        <v>274</v>
      </c>
      <c r="AM57" s="104" t="s">
        <v>274</v>
      </c>
      <c r="AN57" s="2"/>
      <c r="AO57" s="3"/>
      <c r="AP57" s="3"/>
      <c r="AQ57" s="3"/>
      <c r="AR57" s="3"/>
    </row>
    <row r="58" spans="1:44" x14ac:dyDescent="0.45">
      <c r="A58" s="14" t="s">
        <v>188</v>
      </c>
      <c r="B58" s="15" t="s">
        <v>279</v>
      </c>
      <c r="C58" s="15"/>
      <c r="D58" s="81">
        <v>1.78112543717755</v>
      </c>
      <c r="E58" s="78"/>
      <c r="F58" s="15"/>
      <c r="G58" s="15"/>
      <c r="H58" s="14" t="s">
        <v>188</v>
      </c>
      <c r="I58" s="66"/>
      <c r="J58" s="66"/>
      <c r="K58" s="16"/>
      <c r="L58" s="82"/>
      <c r="M58" s="83">
        <v>4939.32861328125</v>
      </c>
      <c r="N58" s="83">
        <v>1037.5906982421875</v>
      </c>
      <c r="O58" s="77"/>
      <c r="P58" s="84"/>
      <c r="Q58" s="84"/>
      <c r="R58" s="51">
        <v>2</v>
      </c>
      <c r="S58" s="85"/>
      <c r="T58" s="85"/>
      <c r="U58" s="52">
        <v>36.333333000000003</v>
      </c>
      <c r="V58" s="52">
        <v>7.5760000000000003E-3</v>
      </c>
      <c r="W58" s="52">
        <v>4.0534000000000001E-2</v>
      </c>
      <c r="X58" s="52">
        <v>0.84026599999999996</v>
      </c>
      <c r="Y58" s="52">
        <v>0</v>
      </c>
      <c r="Z58" s="52"/>
      <c r="AA58" s="79">
        <v>58</v>
      </c>
      <c r="AB58"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58" s="86"/>
      <c r="AD58" s="51"/>
      <c r="AE58" s="51"/>
      <c r="AF58" s="51"/>
      <c r="AG58" s="51"/>
      <c r="AH58" s="51"/>
      <c r="AI58" s="51"/>
      <c r="AJ58" s="51"/>
      <c r="AK58" s="51"/>
      <c r="AL58" s="51"/>
      <c r="AM58" s="51"/>
      <c r="AN58" s="2"/>
      <c r="AO58" s="3"/>
      <c r="AP58" s="3"/>
      <c r="AQ58" s="3"/>
      <c r="AR58" s="3"/>
    </row>
    <row r="59" spans="1:44" x14ac:dyDescent="0.45">
      <c r="A59" s="14" t="s">
        <v>177</v>
      </c>
      <c r="B59" s="15" t="s">
        <v>282</v>
      </c>
      <c r="C59" s="15"/>
      <c r="D59" s="81">
        <v>2.8108440829124706</v>
      </c>
      <c r="E59" s="78"/>
      <c r="F59" s="15"/>
      <c r="G59" s="15"/>
      <c r="H59" s="14" t="s">
        <v>177</v>
      </c>
      <c r="I59" s="66"/>
      <c r="J59" s="66"/>
      <c r="K59" s="16"/>
      <c r="L59" s="82"/>
      <c r="M59" s="83">
        <v>5083.1337890625</v>
      </c>
      <c r="N59" s="83">
        <v>3054.966552734375</v>
      </c>
      <c r="O59" s="77"/>
      <c r="P59" s="84"/>
      <c r="Q59" s="84"/>
      <c r="R59" s="51">
        <v>6</v>
      </c>
      <c r="S59" s="85"/>
      <c r="T59" s="85"/>
      <c r="U59" s="52">
        <v>169.41666699999999</v>
      </c>
      <c r="V59" s="52">
        <v>7.8130000000000005E-3</v>
      </c>
      <c r="W59" s="52">
        <v>9.5490000000000002E-3</v>
      </c>
      <c r="X59" s="52">
        <v>2.344325</v>
      </c>
      <c r="Y59" s="52">
        <v>0</v>
      </c>
      <c r="Z59" s="52"/>
      <c r="AA59" s="79">
        <v>59</v>
      </c>
      <c r="AB59"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59" s="86"/>
      <c r="AD59" s="51"/>
      <c r="AE59" s="51"/>
      <c r="AF59" s="51"/>
      <c r="AG59" s="51"/>
      <c r="AH59" s="51"/>
      <c r="AI59" s="51"/>
      <c r="AJ59" s="104" t="s">
        <v>274</v>
      </c>
      <c r="AK59" s="104" t="s">
        <v>274</v>
      </c>
      <c r="AL59" s="104" t="s">
        <v>274</v>
      </c>
      <c r="AM59" s="104" t="s">
        <v>274</v>
      </c>
      <c r="AN59" s="2"/>
      <c r="AO59" s="3"/>
      <c r="AP59" s="3"/>
      <c r="AQ59" s="3"/>
      <c r="AR59" s="3"/>
    </row>
    <row r="60" spans="1:44" x14ac:dyDescent="0.45">
      <c r="A60" s="14" t="s">
        <v>178</v>
      </c>
      <c r="B60" s="15" t="s">
        <v>283</v>
      </c>
      <c r="C60" s="15"/>
      <c r="D60" s="81">
        <v>2.6954279020846084</v>
      </c>
      <c r="E60" s="78"/>
      <c r="F60" s="15"/>
      <c r="G60" s="15"/>
      <c r="H60" s="14" t="s">
        <v>178</v>
      </c>
      <c r="I60" s="66"/>
      <c r="J60" s="66"/>
      <c r="K60" s="16"/>
      <c r="L60" s="82"/>
      <c r="M60" s="83">
        <v>4388.22021484375</v>
      </c>
      <c r="N60" s="83">
        <v>3065.93408203125</v>
      </c>
      <c r="O60" s="77"/>
      <c r="P60" s="84"/>
      <c r="Q60" s="84"/>
      <c r="R60" s="51">
        <v>5</v>
      </c>
      <c r="S60" s="85"/>
      <c r="T60" s="85"/>
      <c r="U60" s="52">
        <v>154.5</v>
      </c>
      <c r="V60" s="52">
        <v>8.0649999999999993E-3</v>
      </c>
      <c r="W60" s="52">
        <v>5.1000000000000004E-3</v>
      </c>
      <c r="X60" s="52">
        <v>1.972248</v>
      </c>
      <c r="Y60" s="52">
        <v>0</v>
      </c>
      <c r="Z60" s="52"/>
      <c r="AA60" s="79">
        <v>60</v>
      </c>
      <c r="AB60"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60" s="86"/>
      <c r="AD60" s="51"/>
      <c r="AE60" s="51"/>
      <c r="AF60" s="51"/>
      <c r="AG60" s="51"/>
      <c r="AH60" s="51"/>
      <c r="AI60" s="51"/>
      <c r="AJ60" s="104" t="s">
        <v>274</v>
      </c>
      <c r="AK60" s="104" t="s">
        <v>274</v>
      </c>
      <c r="AL60" s="104" t="s">
        <v>274</v>
      </c>
      <c r="AM60" s="104" t="s">
        <v>274</v>
      </c>
      <c r="AN60" s="2"/>
      <c r="AO60" s="3"/>
      <c r="AP60" s="3"/>
      <c r="AQ60" s="3"/>
      <c r="AR60" s="3"/>
    </row>
    <row r="61" spans="1:44" x14ac:dyDescent="0.45">
      <c r="A61" s="14" t="s">
        <v>238</v>
      </c>
      <c r="B61" s="87"/>
      <c r="C61" s="87"/>
      <c r="D61" s="88"/>
      <c r="E61" s="89"/>
      <c r="F61" s="87"/>
      <c r="G61" s="87"/>
      <c r="H61" s="14" t="s">
        <v>238</v>
      </c>
      <c r="I61" s="91"/>
      <c r="J61" s="91"/>
      <c r="K61" s="90"/>
      <c r="L61" s="92"/>
      <c r="M61" s="93">
        <v>9764.009765625</v>
      </c>
      <c r="N61" s="93">
        <v>3578.94140625</v>
      </c>
      <c r="O61" s="94"/>
      <c r="P61" s="95"/>
      <c r="Q61" s="95"/>
      <c r="R61" s="51"/>
      <c r="S61" s="96"/>
      <c r="T61" s="96"/>
      <c r="U61" s="52"/>
      <c r="V61" s="52"/>
      <c r="W61" s="52"/>
      <c r="X61" s="52"/>
      <c r="Y61" s="52"/>
      <c r="Z61" s="97"/>
      <c r="AA61" s="98">
        <v>61</v>
      </c>
      <c r="AB61" s="98"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61" s="99"/>
      <c r="AD61" s="51"/>
      <c r="AE61" s="51"/>
      <c r="AF61" s="51"/>
      <c r="AG61" s="51"/>
      <c r="AH61" s="51"/>
      <c r="AI61" s="51"/>
      <c r="AJ61" s="51"/>
      <c r="AK61" s="51"/>
      <c r="AL61" s="51"/>
      <c r="AM61" s="51"/>
      <c r="AN61" s="2"/>
      <c r="AO61" s="3"/>
      <c r="AP61" s="3"/>
      <c r="AQ61" s="3"/>
      <c r="AR61" s="3"/>
    </row>
    <row r="62" spans="1:44" x14ac:dyDescent="0.45">
      <c r="A62" s="14" t="s">
        <v>193</v>
      </c>
      <c r="B62" s="15" t="s">
        <v>278</v>
      </c>
      <c r="C62" s="15"/>
      <c r="D62" s="81">
        <v>1.5</v>
      </c>
      <c r="E62" s="78"/>
      <c r="F62" s="15"/>
      <c r="G62" s="15"/>
      <c r="H62" s="14" t="s">
        <v>193</v>
      </c>
      <c r="I62" s="66"/>
      <c r="J62" s="66"/>
      <c r="K62" s="16"/>
      <c r="L62" s="82"/>
      <c r="M62" s="83">
        <v>7581.529296875</v>
      </c>
      <c r="N62" s="83">
        <v>1956.49609375</v>
      </c>
      <c r="O62" s="77"/>
      <c r="P62" s="84"/>
      <c r="Q62" s="84"/>
      <c r="R62" s="51">
        <v>1</v>
      </c>
      <c r="S62" s="85"/>
      <c r="T62" s="85"/>
      <c r="U62" s="52">
        <v>0</v>
      </c>
      <c r="V62" s="52">
        <v>5.7470000000000004E-3</v>
      </c>
      <c r="W62" s="52">
        <v>6.5849999999999997E-3</v>
      </c>
      <c r="X62" s="52">
        <v>0.48211199999999999</v>
      </c>
      <c r="Y62" s="52">
        <v>0</v>
      </c>
      <c r="Z62" s="52"/>
      <c r="AA62" s="79">
        <v>62</v>
      </c>
      <c r="AB62"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62" s="86"/>
      <c r="AD62" s="51"/>
      <c r="AE62" s="51"/>
      <c r="AF62" s="51"/>
      <c r="AG62" s="51"/>
      <c r="AH62" s="51"/>
      <c r="AI62" s="51"/>
      <c r="AJ62" s="51"/>
      <c r="AK62" s="51"/>
      <c r="AL62" s="51"/>
      <c r="AM62" s="51"/>
      <c r="AN62" s="2"/>
      <c r="AO62" s="3"/>
      <c r="AP62" s="3"/>
      <c r="AQ62" s="3"/>
      <c r="AR62" s="3"/>
    </row>
    <row r="63" spans="1:44" x14ac:dyDescent="0.45">
      <c r="A63" s="14" t="s">
        <v>180</v>
      </c>
      <c r="B63" s="15" t="s">
        <v>284</v>
      </c>
      <c r="C63" s="15"/>
      <c r="D63" s="81">
        <v>4.69490035577721</v>
      </c>
      <c r="E63" s="78"/>
      <c r="F63" s="15"/>
      <c r="G63" s="15"/>
      <c r="H63" s="14" t="s">
        <v>180</v>
      </c>
      <c r="I63" s="66"/>
      <c r="J63" s="66"/>
      <c r="K63" s="16"/>
      <c r="L63" s="82"/>
      <c r="M63" s="83">
        <v>5670.10693359375</v>
      </c>
      <c r="N63" s="83">
        <v>4997.4580078125</v>
      </c>
      <c r="O63" s="77"/>
      <c r="P63" s="84"/>
      <c r="Q63" s="84"/>
      <c r="R63" s="51">
        <v>11</v>
      </c>
      <c r="S63" s="85"/>
      <c r="T63" s="85"/>
      <c r="U63" s="52">
        <v>412.91666700000002</v>
      </c>
      <c r="V63" s="52">
        <v>8.9289999999999994E-3</v>
      </c>
      <c r="W63" s="52">
        <v>9.5040000000000003E-3</v>
      </c>
      <c r="X63" s="52">
        <v>4.5280440000000004</v>
      </c>
      <c r="Y63" s="52">
        <v>0</v>
      </c>
      <c r="Z63" s="52"/>
      <c r="AA63" s="79">
        <v>63</v>
      </c>
      <c r="AB63"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63" s="86"/>
      <c r="AD63" s="51"/>
      <c r="AE63" s="51"/>
      <c r="AF63" s="51"/>
      <c r="AG63" s="51"/>
      <c r="AH63" s="51"/>
      <c r="AI63" s="51"/>
      <c r="AJ63" s="104" t="s">
        <v>274</v>
      </c>
      <c r="AK63" s="104" t="s">
        <v>274</v>
      </c>
      <c r="AL63" s="104" t="s">
        <v>274</v>
      </c>
      <c r="AM63" s="104" t="s">
        <v>274</v>
      </c>
      <c r="AN63" s="2"/>
      <c r="AO63" s="3"/>
      <c r="AP63" s="3"/>
      <c r="AQ63" s="3"/>
      <c r="AR63" s="3"/>
    </row>
    <row r="64" spans="1:44" x14ac:dyDescent="0.45">
      <c r="A64" s="14" t="s">
        <v>194</v>
      </c>
      <c r="B64" s="15" t="s">
        <v>278</v>
      </c>
      <c r="C64" s="15"/>
      <c r="D64" s="81">
        <v>1.5</v>
      </c>
      <c r="E64" s="78"/>
      <c r="F64" s="15"/>
      <c r="G64" s="15"/>
      <c r="H64" s="14" t="s">
        <v>194</v>
      </c>
      <c r="I64" s="66"/>
      <c r="J64" s="66"/>
      <c r="K64" s="16"/>
      <c r="L64" s="82"/>
      <c r="M64" s="83">
        <v>733.62322998046875</v>
      </c>
      <c r="N64" s="83">
        <v>4859.6337890625</v>
      </c>
      <c r="O64" s="77"/>
      <c r="P64" s="84"/>
      <c r="Q64" s="84"/>
      <c r="R64" s="51">
        <v>1</v>
      </c>
      <c r="S64" s="85"/>
      <c r="T64" s="85"/>
      <c r="U64" s="52">
        <v>0</v>
      </c>
      <c r="V64" s="52">
        <v>6.3290000000000004E-3</v>
      </c>
      <c r="W64" s="52">
        <v>6.5550000000000001E-3</v>
      </c>
      <c r="X64" s="52">
        <v>0.49989400000000001</v>
      </c>
      <c r="Y64" s="52">
        <v>0</v>
      </c>
      <c r="Z64" s="52"/>
      <c r="AA64" s="79">
        <v>64</v>
      </c>
      <c r="AB64"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64" s="86"/>
      <c r="AD64" s="51"/>
      <c r="AE64" s="51"/>
      <c r="AF64" s="51"/>
      <c r="AG64" s="51"/>
      <c r="AH64" s="51"/>
      <c r="AI64" s="51"/>
      <c r="AJ64" s="51"/>
      <c r="AK64" s="51"/>
      <c r="AL64" s="51"/>
      <c r="AM64" s="51"/>
      <c r="AN64" s="2"/>
      <c r="AO64" s="3"/>
      <c r="AP64" s="3"/>
      <c r="AQ64" s="3"/>
      <c r="AR64" s="3"/>
    </row>
    <row r="65" spans="1:44" x14ac:dyDescent="0.45">
      <c r="A65" s="14" t="s">
        <v>195</v>
      </c>
      <c r="B65" s="15" t="s">
        <v>278</v>
      </c>
      <c r="C65" s="15"/>
      <c r="D65" s="81">
        <v>1.5</v>
      </c>
      <c r="E65" s="78"/>
      <c r="F65" s="15"/>
      <c r="G65" s="15"/>
      <c r="H65" s="14" t="s">
        <v>195</v>
      </c>
      <c r="I65" s="66"/>
      <c r="J65" s="66"/>
      <c r="K65" s="16"/>
      <c r="L65" s="82"/>
      <c r="M65" s="83">
        <v>8008.72607421875</v>
      </c>
      <c r="N65" s="83">
        <v>8595.9765625</v>
      </c>
      <c r="O65" s="77"/>
      <c r="P65" s="84"/>
      <c r="Q65" s="84"/>
      <c r="R65" s="51">
        <v>1</v>
      </c>
      <c r="S65" s="85"/>
      <c r="T65" s="85"/>
      <c r="U65" s="52">
        <v>0</v>
      </c>
      <c r="V65" s="52">
        <v>6.3290000000000004E-3</v>
      </c>
      <c r="W65" s="52">
        <v>6.5550000000000001E-3</v>
      </c>
      <c r="X65" s="52">
        <v>0.49989400000000001</v>
      </c>
      <c r="Y65" s="52">
        <v>0</v>
      </c>
      <c r="Z65" s="52"/>
      <c r="AA65" s="79">
        <v>65</v>
      </c>
      <c r="AB65"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65" s="86"/>
      <c r="AD65" s="51"/>
      <c r="AE65" s="51"/>
      <c r="AF65" s="51"/>
      <c r="AG65" s="51"/>
      <c r="AH65" s="51"/>
      <c r="AI65" s="51"/>
      <c r="AJ65" s="51"/>
      <c r="AK65" s="51"/>
      <c r="AL65" s="51"/>
      <c r="AM65" s="51"/>
      <c r="AN65" s="2"/>
      <c r="AO65" s="3"/>
      <c r="AP65" s="3"/>
      <c r="AQ65" s="3"/>
      <c r="AR65" s="3"/>
    </row>
    <row r="66" spans="1:44" x14ac:dyDescent="0.45">
      <c r="A66" s="14" t="s">
        <v>196</v>
      </c>
      <c r="B66" s="15" t="s">
        <v>278</v>
      </c>
      <c r="C66" s="15"/>
      <c r="D66" s="81">
        <v>1.5</v>
      </c>
      <c r="E66" s="78"/>
      <c r="F66" s="15"/>
      <c r="G66" s="15"/>
      <c r="H66" s="14" t="s">
        <v>196</v>
      </c>
      <c r="I66" s="66"/>
      <c r="J66" s="66"/>
      <c r="K66" s="16"/>
      <c r="L66" s="82"/>
      <c r="M66" s="83">
        <v>8976.3095703125</v>
      </c>
      <c r="N66" s="83">
        <v>5642.9326171875</v>
      </c>
      <c r="O66" s="77"/>
      <c r="P66" s="84"/>
      <c r="Q66" s="84"/>
      <c r="R66" s="51">
        <v>1</v>
      </c>
      <c r="S66" s="85"/>
      <c r="T66" s="85"/>
      <c r="U66" s="52">
        <v>0</v>
      </c>
      <c r="V66" s="52">
        <v>6.757E-3</v>
      </c>
      <c r="W66" s="52">
        <v>3.3949E-2</v>
      </c>
      <c r="X66" s="52">
        <v>0.50815399999999999</v>
      </c>
      <c r="Y66" s="52">
        <v>0</v>
      </c>
      <c r="Z66" s="52"/>
      <c r="AA66" s="79">
        <v>66</v>
      </c>
      <c r="AB66"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66" s="86"/>
      <c r="AD66" s="51"/>
      <c r="AE66" s="51"/>
      <c r="AF66" s="51"/>
      <c r="AG66" s="51"/>
      <c r="AH66" s="51"/>
      <c r="AI66" s="51"/>
      <c r="AJ66" s="51"/>
      <c r="AK66" s="51"/>
      <c r="AL66" s="51"/>
      <c r="AM66" s="51"/>
      <c r="AN66" s="2"/>
      <c r="AO66" s="3"/>
      <c r="AP66" s="3"/>
      <c r="AQ66" s="3"/>
      <c r="AR66" s="3"/>
    </row>
    <row r="67" spans="1:44" x14ac:dyDescent="0.45">
      <c r="A67" s="14" t="s">
        <v>197</v>
      </c>
      <c r="B67" s="15" t="s">
        <v>278</v>
      </c>
      <c r="C67" s="15"/>
      <c r="D67" s="81">
        <v>1.5</v>
      </c>
      <c r="E67" s="78"/>
      <c r="F67" s="15"/>
      <c r="G67" s="15"/>
      <c r="H67" s="14" t="s">
        <v>197</v>
      </c>
      <c r="I67" s="66"/>
      <c r="J67" s="66"/>
      <c r="K67" s="16"/>
      <c r="L67" s="82"/>
      <c r="M67" s="83">
        <v>8108.072265625</v>
      </c>
      <c r="N67" s="83">
        <v>1042.392333984375</v>
      </c>
      <c r="O67" s="77"/>
      <c r="P67" s="84"/>
      <c r="Q67" s="84"/>
      <c r="R67" s="51">
        <v>1</v>
      </c>
      <c r="S67" s="85"/>
      <c r="T67" s="85"/>
      <c r="U67" s="52">
        <v>0</v>
      </c>
      <c r="V67" s="52">
        <v>6.3290000000000004E-3</v>
      </c>
      <c r="W67" s="52">
        <v>6.5550000000000001E-3</v>
      </c>
      <c r="X67" s="52">
        <v>0.49989400000000001</v>
      </c>
      <c r="Y67" s="52">
        <v>0</v>
      </c>
      <c r="Z67" s="52"/>
      <c r="AA67" s="79">
        <v>67</v>
      </c>
      <c r="AB67"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67" s="86"/>
      <c r="AD67" s="51"/>
      <c r="AE67" s="51"/>
      <c r="AF67" s="51"/>
      <c r="AG67" s="51"/>
      <c r="AH67" s="51"/>
      <c r="AI67" s="51"/>
      <c r="AJ67" s="51"/>
      <c r="AK67" s="51"/>
      <c r="AL67" s="51"/>
      <c r="AM67" s="51"/>
      <c r="AN67" s="2"/>
      <c r="AO67" s="3"/>
      <c r="AP67" s="3"/>
      <c r="AQ67" s="3"/>
      <c r="AR67" s="3"/>
    </row>
    <row r="68" spans="1:44" x14ac:dyDescent="0.45">
      <c r="A68" s="14" t="s">
        <v>198</v>
      </c>
      <c r="B68" s="15" t="s">
        <v>278</v>
      </c>
      <c r="C68" s="15"/>
      <c r="D68" s="81">
        <v>1.5</v>
      </c>
      <c r="E68" s="78"/>
      <c r="F68" s="15"/>
      <c r="G68" s="15"/>
      <c r="H68" s="14" t="s">
        <v>198</v>
      </c>
      <c r="I68" s="66"/>
      <c r="J68" s="66"/>
      <c r="K68" s="16"/>
      <c r="L68" s="82"/>
      <c r="M68" s="83">
        <v>6108.958984375</v>
      </c>
      <c r="N68" s="83">
        <v>1435.1077880859375</v>
      </c>
      <c r="O68" s="77"/>
      <c r="P68" s="84"/>
      <c r="Q68" s="84"/>
      <c r="R68" s="51">
        <v>1</v>
      </c>
      <c r="S68" s="85"/>
      <c r="T68" s="85"/>
      <c r="U68" s="52">
        <v>0</v>
      </c>
      <c r="V68" s="52">
        <v>6.757E-3</v>
      </c>
      <c r="W68" s="52">
        <v>3.3949E-2</v>
      </c>
      <c r="X68" s="52">
        <v>0.50815399999999999</v>
      </c>
      <c r="Y68" s="52">
        <v>0</v>
      </c>
      <c r="Z68" s="52"/>
      <c r="AA68" s="79">
        <v>68</v>
      </c>
      <c r="AB68"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68" s="86"/>
      <c r="AD68" s="51"/>
      <c r="AE68" s="51"/>
      <c r="AF68" s="51"/>
      <c r="AG68" s="51"/>
      <c r="AH68" s="51"/>
      <c r="AI68" s="51"/>
      <c r="AJ68" s="51"/>
      <c r="AK68" s="51"/>
      <c r="AL68" s="51"/>
      <c r="AM68" s="51"/>
      <c r="AN68" s="2"/>
      <c r="AO68" s="3"/>
      <c r="AP68" s="3"/>
      <c r="AQ68" s="3"/>
      <c r="AR68" s="3"/>
    </row>
    <row r="69" spans="1:44" x14ac:dyDescent="0.45">
      <c r="A69" s="14" t="s">
        <v>199</v>
      </c>
      <c r="B69" s="15" t="s">
        <v>278</v>
      </c>
      <c r="C69" s="15"/>
      <c r="D69" s="81">
        <v>1.5</v>
      </c>
      <c r="E69" s="78"/>
      <c r="F69" s="15"/>
      <c r="G69" s="15"/>
      <c r="H69" s="14" t="s">
        <v>199</v>
      </c>
      <c r="I69" s="66"/>
      <c r="J69" s="66"/>
      <c r="K69" s="16"/>
      <c r="L69" s="82"/>
      <c r="M69" s="83">
        <v>6558.7998046875</v>
      </c>
      <c r="N69" s="83">
        <v>9812.8212890625</v>
      </c>
      <c r="O69" s="77"/>
      <c r="P69" s="84"/>
      <c r="Q69" s="84"/>
      <c r="R69" s="51">
        <v>1</v>
      </c>
      <c r="S69" s="85"/>
      <c r="T69" s="85"/>
      <c r="U69" s="52">
        <v>0</v>
      </c>
      <c r="V69" s="52">
        <v>6.757E-3</v>
      </c>
      <c r="W69" s="52">
        <v>3.3949E-2</v>
      </c>
      <c r="X69" s="52">
        <v>0.50815399999999999</v>
      </c>
      <c r="Y69" s="52">
        <v>0</v>
      </c>
      <c r="Z69" s="52"/>
      <c r="AA69" s="79">
        <v>69</v>
      </c>
      <c r="AB69"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69" s="86"/>
      <c r="AD69" s="51"/>
      <c r="AE69" s="51"/>
      <c r="AF69" s="51"/>
      <c r="AG69" s="51"/>
      <c r="AH69" s="51"/>
      <c r="AI69" s="51"/>
      <c r="AJ69" s="51"/>
      <c r="AK69" s="51"/>
      <c r="AL69" s="51"/>
      <c r="AM69" s="51"/>
      <c r="AN69" s="2"/>
      <c r="AO69" s="3"/>
      <c r="AP69" s="3"/>
      <c r="AQ69" s="3"/>
      <c r="AR69" s="3"/>
    </row>
    <row r="70" spans="1:44" x14ac:dyDescent="0.45">
      <c r="A70" s="14" t="s">
        <v>181</v>
      </c>
      <c r="B70" s="15" t="s">
        <v>278</v>
      </c>
      <c r="C70" s="15"/>
      <c r="D70" s="81">
        <v>1.5</v>
      </c>
      <c r="E70" s="78"/>
      <c r="F70" s="15"/>
      <c r="G70" s="15"/>
      <c r="H70" s="14" t="s">
        <v>181</v>
      </c>
      <c r="I70" s="66"/>
      <c r="J70" s="66"/>
      <c r="K70" s="16"/>
      <c r="L70" s="82"/>
      <c r="M70" s="83">
        <v>9864.814453125</v>
      </c>
      <c r="N70" s="83">
        <v>3366.502197265625</v>
      </c>
      <c r="O70" s="77"/>
      <c r="P70" s="84"/>
      <c r="Q70" s="84"/>
      <c r="R70" s="51">
        <v>1</v>
      </c>
      <c r="S70" s="85"/>
      <c r="T70" s="85"/>
      <c r="U70" s="52">
        <v>0</v>
      </c>
      <c r="V70" s="52">
        <v>1</v>
      </c>
      <c r="W70" s="52">
        <v>0</v>
      </c>
      <c r="X70" s="52">
        <v>0.99999000000000005</v>
      </c>
      <c r="Y70" s="52">
        <v>0</v>
      </c>
      <c r="Z70" s="52"/>
      <c r="AA70" s="79">
        <v>70</v>
      </c>
      <c r="AB70"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70" s="86"/>
      <c r="AD70" s="51"/>
      <c r="AE70" s="51"/>
      <c r="AF70" s="51"/>
      <c r="AG70" s="51"/>
      <c r="AH70" s="51"/>
      <c r="AI70" s="51"/>
      <c r="AJ70" s="104" t="s">
        <v>274</v>
      </c>
      <c r="AK70" s="104" t="s">
        <v>274</v>
      </c>
      <c r="AL70" s="104" t="s">
        <v>274</v>
      </c>
      <c r="AM70" s="104" t="s">
        <v>274</v>
      </c>
      <c r="AN70" s="2"/>
      <c r="AO70" s="3"/>
      <c r="AP70" s="3"/>
      <c r="AQ70" s="3"/>
      <c r="AR70" s="3"/>
    </row>
    <row r="71" spans="1:44" x14ac:dyDescent="0.45">
      <c r="A71" s="14" t="s">
        <v>200</v>
      </c>
      <c r="B71" s="15" t="s">
        <v>278</v>
      </c>
      <c r="C71" s="15"/>
      <c r="D71" s="81">
        <v>1.5</v>
      </c>
      <c r="E71" s="78"/>
      <c r="F71" s="15"/>
      <c r="G71" s="15"/>
      <c r="H71" s="14" t="s">
        <v>200</v>
      </c>
      <c r="I71" s="66"/>
      <c r="J71" s="66"/>
      <c r="K71" s="16"/>
      <c r="L71" s="82"/>
      <c r="M71" s="83">
        <v>8450.8544921875</v>
      </c>
      <c r="N71" s="83">
        <v>8905.7607421875</v>
      </c>
      <c r="O71" s="77"/>
      <c r="P71" s="84"/>
      <c r="Q71" s="84"/>
      <c r="R71" s="51">
        <v>1</v>
      </c>
      <c r="S71" s="85"/>
      <c r="T71" s="85"/>
      <c r="U71" s="52">
        <v>0</v>
      </c>
      <c r="V71" s="52">
        <v>1</v>
      </c>
      <c r="W71" s="52">
        <v>0</v>
      </c>
      <c r="X71" s="52">
        <v>0.99999000000000005</v>
      </c>
      <c r="Y71" s="52">
        <v>0</v>
      </c>
      <c r="Z71" s="52"/>
      <c r="AA71" s="79">
        <v>71</v>
      </c>
      <c r="AB71"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71" s="86"/>
      <c r="AD71" s="51"/>
      <c r="AE71" s="51"/>
      <c r="AF71" s="51"/>
      <c r="AG71" s="51"/>
      <c r="AH71" s="51"/>
      <c r="AI71" s="51"/>
      <c r="AJ71" s="51"/>
      <c r="AK71" s="51"/>
      <c r="AL71" s="51"/>
      <c r="AM71" s="51"/>
      <c r="AN71" s="2"/>
      <c r="AO71" s="3"/>
      <c r="AP71" s="3"/>
      <c r="AQ71" s="3"/>
      <c r="AR71" s="3"/>
    </row>
    <row r="72" spans="1:44" x14ac:dyDescent="0.45">
      <c r="A72" s="14" t="s">
        <v>182</v>
      </c>
      <c r="B72" s="15" t="s">
        <v>279</v>
      </c>
      <c r="C72" s="15"/>
      <c r="D72" s="81">
        <v>1.855920281526809</v>
      </c>
      <c r="E72" s="78"/>
      <c r="F72" s="15"/>
      <c r="G72" s="15"/>
      <c r="H72" s="14" t="s">
        <v>182</v>
      </c>
      <c r="I72" s="66"/>
      <c r="J72" s="66"/>
      <c r="K72" s="16"/>
      <c r="L72" s="82"/>
      <c r="M72" s="83">
        <v>4827.1025390625</v>
      </c>
      <c r="N72" s="83">
        <v>2210.843017578125</v>
      </c>
      <c r="O72" s="77"/>
      <c r="P72" s="84"/>
      <c r="Q72" s="84"/>
      <c r="R72" s="51">
        <v>2</v>
      </c>
      <c r="S72" s="85"/>
      <c r="T72" s="85"/>
      <c r="U72" s="52">
        <v>46</v>
      </c>
      <c r="V72" s="52">
        <v>5.6820000000000004E-3</v>
      </c>
      <c r="W72" s="52">
        <v>1.142E-3</v>
      </c>
      <c r="X72" s="52">
        <v>0.962947</v>
      </c>
      <c r="Y72" s="52">
        <v>0</v>
      </c>
      <c r="Z72" s="52"/>
      <c r="AA72" s="79">
        <v>72</v>
      </c>
      <c r="AB72"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72" s="86"/>
      <c r="AD72" s="51"/>
      <c r="AE72" s="51"/>
      <c r="AF72" s="51"/>
      <c r="AG72" s="51"/>
      <c r="AH72" s="51"/>
      <c r="AI72" s="51"/>
      <c r="AJ72" s="104" t="s">
        <v>274</v>
      </c>
      <c r="AK72" s="104" t="s">
        <v>274</v>
      </c>
      <c r="AL72" s="104" t="s">
        <v>274</v>
      </c>
      <c r="AM72" s="104" t="s">
        <v>274</v>
      </c>
      <c r="AN72" s="2"/>
      <c r="AO72" s="3"/>
      <c r="AP72" s="3"/>
      <c r="AQ72" s="3"/>
      <c r="AR72" s="3"/>
    </row>
    <row r="73" spans="1:44" x14ac:dyDescent="0.45">
      <c r="A73" s="14" t="s">
        <v>201</v>
      </c>
      <c r="B73" s="15" t="s">
        <v>278</v>
      </c>
      <c r="C73" s="15"/>
      <c r="D73" s="81">
        <v>1.5</v>
      </c>
      <c r="E73" s="78"/>
      <c r="F73" s="15"/>
      <c r="G73" s="15"/>
      <c r="H73" s="14" t="s">
        <v>201</v>
      </c>
      <c r="I73" s="66"/>
      <c r="J73" s="66"/>
      <c r="K73" s="16"/>
      <c r="L73" s="82"/>
      <c r="M73" s="83">
        <v>2328.617919921875</v>
      </c>
      <c r="N73" s="83">
        <v>448.28009033203125</v>
      </c>
      <c r="O73" s="77"/>
      <c r="P73" s="84"/>
      <c r="Q73" s="84"/>
      <c r="R73" s="51">
        <v>1</v>
      </c>
      <c r="S73" s="85"/>
      <c r="T73" s="85"/>
      <c r="U73" s="52">
        <v>0</v>
      </c>
      <c r="V73" s="52">
        <v>4.5050000000000003E-3</v>
      </c>
      <c r="W73" s="52">
        <v>7.8799999999999996E-4</v>
      </c>
      <c r="X73" s="52">
        <v>0.55925199999999997</v>
      </c>
      <c r="Y73" s="52">
        <v>0</v>
      </c>
      <c r="Z73" s="52"/>
      <c r="AA73" s="79">
        <v>73</v>
      </c>
      <c r="AB73"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73" s="86"/>
      <c r="AD73" s="51"/>
      <c r="AE73" s="51"/>
      <c r="AF73" s="51"/>
      <c r="AG73" s="51"/>
      <c r="AH73" s="51"/>
      <c r="AI73" s="51"/>
      <c r="AJ73" s="51"/>
      <c r="AK73" s="51"/>
      <c r="AL73" s="51"/>
      <c r="AM73" s="51"/>
      <c r="AN73" s="2"/>
      <c r="AO73" s="3"/>
      <c r="AP73" s="3"/>
      <c r="AQ73" s="3"/>
      <c r="AR73" s="3"/>
    </row>
    <row r="74" spans="1:44" x14ac:dyDescent="0.45">
      <c r="A74" s="14" t="s">
        <v>202</v>
      </c>
      <c r="B74" s="15" t="s">
        <v>278</v>
      </c>
      <c r="C74" s="15"/>
      <c r="D74" s="81">
        <v>1.5</v>
      </c>
      <c r="E74" s="78"/>
      <c r="F74" s="15"/>
      <c r="G74" s="15"/>
      <c r="H74" s="14" t="s">
        <v>202</v>
      </c>
      <c r="I74" s="66"/>
      <c r="J74" s="66"/>
      <c r="K74" s="16"/>
      <c r="L74" s="82"/>
      <c r="M74" s="83">
        <v>7914.52392578125</v>
      </c>
      <c r="N74" s="83">
        <v>6495.45458984375</v>
      </c>
      <c r="O74" s="77"/>
      <c r="P74" s="84"/>
      <c r="Q74" s="84"/>
      <c r="R74" s="51">
        <v>1</v>
      </c>
      <c r="S74" s="85"/>
      <c r="T74" s="85"/>
      <c r="U74" s="52">
        <v>0</v>
      </c>
      <c r="V74" s="52">
        <v>6.757E-3</v>
      </c>
      <c r="W74" s="52">
        <v>3.3949E-2</v>
      </c>
      <c r="X74" s="52">
        <v>0.50815399999999999</v>
      </c>
      <c r="Y74" s="52">
        <v>0</v>
      </c>
      <c r="Z74" s="52"/>
      <c r="AA74" s="79">
        <v>74</v>
      </c>
      <c r="AB74"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74" s="86"/>
      <c r="AD74" s="51"/>
      <c r="AE74" s="51"/>
      <c r="AF74" s="51"/>
      <c r="AG74" s="51"/>
      <c r="AH74" s="51"/>
      <c r="AI74" s="51"/>
      <c r="AJ74" s="51"/>
      <c r="AK74" s="51"/>
      <c r="AL74" s="51"/>
      <c r="AM74" s="51"/>
      <c r="AN74" s="2"/>
      <c r="AO74" s="3"/>
      <c r="AP74" s="3"/>
      <c r="AQ74" s="3"/>
      <c r="AR74" s="3"/>
    </row>
    <row r="75" spans="1:44" x14ac:dyDescent="0.45">
      <c r="A75" s="14" t="s">
        <v>203</v>
      </c>
      <c r="B75" s="15" t="s">
        <v>278</v>
      </c>
      <c r="C75" s="15"/>
      <c r="D75" s="81">
        <v>1.5</v>
      </c>
      <c r="E75" s="78"/>
      <c r="F75" s="15"/>
      <c r="G75" s="15"/>
      <c r="H75" s="14" t="s">
        <v>203</v>
      </c>
      <c r="I75" s="66"/>
      <c r="J75" s="66"/>
      <c r="K75" s="16"/>
      <c r="L75" s="82"/>
      <c r="M75" s="83">
        <v>3087.3046875</v>
      </c>
      <c r="N75" s="83">
        <v>1961.9332275390625</v>
      </c>
      <c r="O75" s="77"/>
      <c r="P75" s="84"/>
      <c r="Q75" s="84"/>
      <c r="R75" s="51">
        <v>1</v>
      </c>
      <c r="S75" s="85"/>
      <c r="T75" s="85"/>
      <c r="U75" s="52">
        <v>0</v>
      </c>
      <c r="V75" s="52">
        <v>6.757E-3</v>
      </c>
      <c r="W75" s="52">
        <v>3.3949E-2</v>
      </c>
      <c r="X75" s="52">
        <v>0.50815399999999999</v>
      </c>
      <c r="Y75" s="52">
        <v>0</v>
      </c>
      <c r="Z75" s="52"/>
      <c r="AA75" s="79">
        <v>75</v>
      </c>
      <c r="AB75"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75" s="86"/>
      <c r="AD75" s="51"/>
      <c r="AE75" s="51"/>
      <c r="AF75" s="51"/>
      <c r="AG75" s="51"/>
      <c r="AH75" s="51"/>
      <c r="AI75" s="51"/>
      <c r="AJ75" s="51"/>
      <c r="AK75" s="51"/>
      <c r="AL75" s="51"/>
      <c r="AM75" s="51"/>
      <c r="AN75" s="2"/>
      <c r="AO75" s="3"/>
      <c r="AP75" s="3"/>
      <c r="AQ75" s="3"/>
      <c r="AR75" s="3"/>
    </row>
    <row r="76" spans="1:44" x14ac:dyDescent="0.45">
      <c r="A76" s="14" t="s">
        <v>204</v>
      </c>
      <c r="B76" s="15" t="s">
        <v>278</v>
      </c>
      <c r="C76" s="15"/>
      <c r="D76" s="81">
        <v>1.5</v>
      </c>
      <c r="E76" s="78"/>
      <c r="F76" s="15"/>
      <c r="G76" s="15"/>
      <c r="H76" s="14" t="s">
        <v>204</v>
      </c>
      <c r="I76" s="66"/>
      <c r="J76" s="66"/>
      <c r="K76" s="16"/>
      <c r="L76" s="82"/>
      <c r="M76" s="83">
        <v>8180.17138671875</v>
      </c>
      <c r="N76" s="83">
        <v>4027.208740234375</v>
      </c>
      <c r="O76" s="77"/>
      <c r="P76" s="84"/>
      <c r="Q76" s="84"/>
      <c r="R76" s="51">
        <v>1</v>
      </c>
      <c r="S76" s="85"/>
      <c r="T76" s="85"/>
      <c r="U76" s="52">
        <v>0</v>
      </c>
      <c r="V76" s="52">
        <v>6.3290000000000004E-3</v>
      </c>
      <c r="W76" s="52">
        <v>6.5550000000000001E-3</v>
      </c>
      <c r="X76" s="52">
        <v>0.49989400000000001</v>
      </c>
      <c r="Y76" s="52">
        <v>0</v>
      </c>
      <c r="Z76" s="52"/>
      <c r="AA76" s="79">
        <v>76</v>
      </c>
      <c r="AB76"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76" s="86"/>
      <c r="AD76" s="51"/>
      <c r="AE76" s="51"/>
      <c r="AF76" s="51"/>
      <c r="AG76" s="51"/>
      <c r="AH76" s="51"/>
      <c r="AI76" s="51"/>
      <c r="AJ76" s="51"/>
      <c r="AK76" s="51"/>
      <c r="AL76" s="51"/>
      <c r="AM76" s="51"/>
      <c r="AN76" s="2"/>
      <c r="AO76" s="3"/>
      <c r="AP76" s="3"/>
      <c r="AQ76" s="3"/>
      <c r="AR76" s="3"/>
    </row>
    <row r="77" spans="1:44" x14ac:dyDescent="0.45">
      <c r="A77" s="14" t="s">
        <v>205</v>
      </c>
      <c r="B77" s="15" t="s">
        <v>278</v>
      </c>
      <c r="C77" s="15"/>
      <c r="D77" s="81">
        <v>1.5</v>
      </c>
      <c r="E77" s="78"/>
      <c r="F77" s="15"/>
      <c r="G77" s="15"/>
      <c r="H77" s="14" t="s">
        <v>205</v>
      </c>
      <c r="I77" s="66"/>
      <c r="J77" s="66"/>
      <c r="K77" s="16"/>
      <c r="L77" s="82"/>
      <c r="M77" s="83">
        <v>1607.7371826171875</v>
      </c>
      <c r="N77" s="83">
        <v>7305.126953125</v>
      </c>
      <c r="O77" s="77"/>
      <c r="P77" s="84"/>
      <c r="Q77" s="84"/>
      <c r="R77" s="51">
        <v>1</v>
      </c>
      <c r="S77" s="85"/>
      <c r="T77" s="85"/>
      <c r="U77" s="52">
        <v>0</v>
      </c>
      <c r="V77" s="52">
        <v>6.757E-3</v>
      </c>
      <c r="W77" s="52">
        <v>3.3949E-2</v>
      </c>
      <c r="X77" s="52">
        <v>0.50815399999999999</v>
      </c>
      <c r="Y77" s="52">
        <v>0</v>
      </c>
      <c r="Z77" s="52"/>
      <c r="AA77" s="79">
        <v>77</v>
      </c>
      <c r="AB77"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77" s="86"/>
      <c r="AD77" s="51"/>
      <c r="AE77" s="51"/>
      <c r="AF77" s="51"/>
      <c r="AG77" s="51"/>
      <c r="AH77" s="51"/>
      <c r="AI77" s="51"/>
      <c r="AJ77" s="51"/>
      <c r="AK77" s="51"/>
      <c r="AL77" s="51"/>
      <c r="AM77" s="51"/>
      <c r="AN77" s="2"/>
      <c r="AO77" s="3"/>
      <c r="AP77" s="3"/>
      <c r="AQ77" s="3"/>
      <c r="AR77" s="3"/>
    </row>
    <row r="78" spans="1:44" x14ac:dyDescent="0.45">
      <c r="A78" s="14" t="s">
        <v>206</v>
      </c>
      <c r="B78" s="15" t="s">
        <v>278</v>
      </c>
      <c r="C78" s="15"/>
      <c r="D78" s="81">
        <v>1.5</v>
      </c>
      <c r="E78" s="78"/>
      <c r="F78" s="15"/>
      <c r="G78" s="15"/>
      <c r="H78" s="14" t="s">
        <v>206</v>
      </c>
      <c r="I78" s="66"/>
      <c r="J78" s="66"/>
      <c r="K78" s="16"/>
      <c r="L78" s="82"/>
      <c r="M78" s="83">
        <v>5316.6279296875</v>
      </c>
      <c r="N78" s="83">
        <v>9157.5234375</v>
      </c>
      <c r="O78" s="77"/>
      <c r="P78" s="84"/>
      <c r="Q78" s="84"/>
      <c r="R78" s="51">
        <v>1</v>
      </c>
      <c r="S78" s="85"/>
      <c r="T78" s="85"/>
      <c r="U78" s="52">
        <v>0</v>
      </c>
      <c r="V78" s="52">
        <v>6.757E-3</v>
      </c>
      <c r="W78" s="52">
        <v>3.3949E-2</v>
      </c>
      <c r="X78" s="52">
        <v>0.50815399999999999</v>
      </c>
      <c r="Y78" s="52">
        <v>0</v>
      </c>
      <c r="Z78" s="52"/>
      <c r="AA78" s="79">
        <v>78</v>
      </c>
      <c r="AB78"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78" s="86"/>
      <c r="AD78" s="51"/>
      <c r="AE78" s="51"/>
      <c r="AF78" s="51"/>
      <c r="AG78" s="51"/>
      <c r="AH78" s="51"/>
      <c r="AI78" s="51"/>
      <c r="AJ78" s="51"/>
      <c r="AK78" s="51"/>
      <c r="AL78" s="51"/>
      <c r="AM78" s="51"/>
      <c r="AN78" s="2"/>
      <c r="AO78" s="3"/>
      <c r="AP78" s="3"/>
      <c r="AQ78" s="3"/>
      <c r="AR78" s="3"/>
    </row>
    <row r="79" spans="1:44" x14ac:dyDescent="0.45">
      <c r="A79" s="14" t="s">
        <v>207</v>
      </c>
      <c r="B79" s="15" t="s">
        <v>278</v>
      </c>
      <c r="C79" s="15"/>
      <c r="D79" s="81">
        <v>1.5</v>
      </c>
      <c r="E79" s="78"/>
      <c r="F79" s="15"/>
      <c r="G79" s="15"/>
      <c r="H79" s="14" t="s">
        <v>207</v>
      </c>
      <c r="I79" s="66"/>
      <c r="J79" s="66"/>
      <c r="K79" s="16"/>
      <c r="L79" s="82"/>
      <c r="M79" s="83">
        <v>2424.352294921875</v>
      </c>
      <c r="N79" s="83">
        <v>2056.60986328125</v>
      </c>
      <c r="O79" s="77"/>
      <c r="P79" s="84"/>
      <c r="Q79" s="84"/>
      <c r="R79" s="51">
        <v>1</v>
      </c>
      <c r="S79" s="85"/>
      <c r="T79" s="85"/>
      <c r="U79" s="52">
        <v>0</v>
      </c>
      <c r="V79" s="52">
        <v>5.7470000000000004E-3</v>
      </c>
      <c r="W79" s="52">
        <v>6.5849999999999997E-3</v>
      </c>
      <c r="X79" s="52">
        <v>0.48211199999999999</v>
      </c>
      <c r="Y79" s="52">
        <v>0</v>
      </c>
      <c r="Z79" s="52"/>
      <c r="AA79" s="79">
        <v>79</v>
      </c>
      <c r="AB79"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79" s="86"/>
      <c r="AD79" s="51"/>
      <c r="AE79" s="51"/>
      <c r="AF79" s="51"/>
      <c r="AG79" s="51"/>
      <c r="AH79" s="51"/>
      <c r="AI79" s="51"/>
      <c r="AJ79" s="51"/>
      <c r="AK79" s="51"/>
      <c r="AL79" s="51"/>
      <c r="AM79" s="51"/>
      <c r="AN79" s="2"/>
      <c r="AO79" s="3"/>
      <c r="AP79" s="3"/>
      <c r="AQ79" s="3"/>
      <c r="AR79" s="3"/>
    </row>
    <row r="80" spans="1:44" x14ac:dyDescent="0.45">
      <c r="A80" s="14" t="s">
        <v>208</v>
      </c>
      <c r="B80" s="15" t="s">
        <v>278</v>
      </c>
      <c r="C80" s="15"/>
      <c r="D80" s="81">
        <v>1.5</v>
      </c>
      <c r="E80" s="78"/>
      <c r="F80" s="15"/>
      <c r="G80" s="15"/>
      <c r="H80" s="14" t="s">
        <v>208</v>
      </c>
      <c r="I80" s="66"/>
      <c r="J80" s="66"/>
      <c r="K80" s="16"/>
      <c r="L80" s="82"/>
      <c r="M80" s="83">
        <v>3866.399658203125</v>
      </c>
      <c r="N80" s="83">
        <v>9178.1171875</v>
      </c>
      <c r="O80" s="77"/>
      <c r="P80" s="84"/>
      <c r="Q80" s="84"/>
      <c r="R80" s="51">
        <v>1</v>
      </c>
      <c r="S80" s="85"/>
      <c r="T80" s="85"/>
      <c r="U80" s="52">
        <v>0</v>
      </c>
      <c r="V80" s="52">
        <v>6.757E-3</v>
      </c>
      <c r="W80" s="52">
        <v>3.3949E-2</v>
      </c>
      <c r="X80" s="52">
        <v>0.50815399999999999</v>
      </c>
      <c r="Y80" s="52">
        <v>0</v>
      </c>
      <c r="Z80" s="52"/>
      <c r="AA80" s="79">
        <v>80</v>
      </c>
      <c r="AB80"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80" s="86"/>
      <c r="AD80" s="51"/>
      <c r="AE80" s="51"/>
      <c r="AF80" s="51"/>
      <c r="AG80" s="51"/>
      <c r="AH80" s="51"/>
      <c r="AI80" s="51"/>
      <c r="AJ80" s="51"/>
      <c r="AK80" s="51"/>
      <c r="AL80" s="51"/>
      <c r="AM80" s="51"/>
      <c r="AN80" s="2"/>
      <c r="AO80" s="3"/>
      <c r="AP80" s="3"/>
      <c r="AQ80" s="3"/>
      <c r="AR80" s="3"/>
    </row>
    <row r="81" spans="1:44" x14ac:dyDescent="0.45">
      <c r="A81" s="14" t="s">
        <v>209</v>
      </c>
      <c r="B81" s="15" t="s">
        <v>278</v>
      </c>
      <c r="C81" s="15"/>
      <c r="D81" s="81">
        <v>1.5</v>
      </c>
      <c r="E81" s="78"/>
      <c r="F81" s="15"/>
      <c r="G81" s="15"/>
      <c r="H81" s="14" t="s">
        <v>209</v>
      </c>
      <c r="I81" s="66"/>
      <c r="J81" s="66"/>
      <c r="K81" s="16"/>
      <c r="L81" s="82"/>
      <c r="M81" s="83">
        <v>9025.384765625</v>
      </c>
      <c r="N81" s="83">
        <v>8636.1943359375</v>
      </c>
      <c r="O81" s="77"/>
      <c r="P81" s="84"/>
      <c r="Q81" s="84"/>
      <c r="R81" s="51">
        <v>1</v>
      </c>
      <c r="S81" s="85"/>
      <c r="T81" s="85"/>
      <c r="U81" s="52">
        <v>0</v>
      </c>
      <c r="V81" s="52">
        <v>6.3290000000000004E-3</v>
      </c>
      <c r="W81" s="52">
        <v>6.5550000000000001E-3</v>
      </c>
      <c r="X81" s="52">
        <v>0.49989400000000001</v>
      </c>
      <c r="Y81" s="52">
        <v>0</v>
      </c>
      <c r="Z81" s="52"/>
      <c r="AA81" s="79">
        <v>81</v>
      </c>
      <c r="AB81"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81" s="86"/>
      <c r="AD81" s="51"/>
      <c r="AE81" s="51"/>
      <c r="AF81" s="51"/>
      <c r="AG81" s="51"/>
      <c r="AH81" s="51"/>
      <c r="AI81" s="51"/>
      <c r="AJ81" s="51"/>
      <c r="AK81" s="51"/>
      <c r="AL81" s="51"/>
      <c r="AM81" s="51"/>
      <c r="AN81" s="2"/>
      <c r="AO81" s="3"/>
      <c r="AP81" s="3"/>
      <c r="AQ81" s="3"/>
      <c r="AR81" s="3"/>
    </row>
    <row r="82" spans="1:44" x14ac:dyDescent="0.45">
      <c r="A82" s="14" t="s">
        <v>210</v>
      </c>
      <c r="B82" s="15" t="s">
        <v>278</v>
      </c>
      <c r="C82" s="15"/>
      <c r="D82" s="81">
        <v>1.5</v>
      </c>
      <c r="E82" s="78"/>
      <c r="F82" s="15"/>
      <c r="G82" s="15"/>
      <c r="H82" s="14" t="s">
        <v>210</v>
      </c>
      <c r="I82" s="66"/>
      <c r="J82" s="66"/>
      <c r="K82" s="16"/>
      <c r="L82" s="82"/>
      <c r="M82" s="83">
        <v>9825.083984375</v>
      </c>
      <c r="N82" s="83">
        <v>4538.9873046875</v>
      </c>
      <c r="O82" s="77"/>
      <c r="P82" s="84"/>
      <c r="Q82" s="84"/>
      <c r="R82" s="51">
        <v>1</v>
      </c>
      <c r="S82" s="85"/>
      <c r="T82" s="85"/>
      <c r="U82" s="52">
        <v>0</v>
      </c>
      <c r="V82" s="52">
        <v>4.3480000000000003E-3</v>
      </c>
      <c r="W82" s="52">
        <v>5.9299999999999999E-4</v>
      </c>
      <c r="X82" s="52">
        <v>0.55546200000000001</v>
      </c>
      <c r="Y82" s="52">
        <v>0</v>
      </c>
      <c r="Z82" s="52"/>
      <c r="AA82" s="79">
        <v>82</v>
      </c>
      <c r="AB82"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82" s="86"/>
      <c r="AD82" s="51"/>
      <c r="AE82" s="51"/>
      <c r="AF82" s="51"/>
      <c r="AG82" s="51"/>
      <c r="AH82" s="51"/>
      <c r="AI82" s="51"/>
      <c r="AJ82" s="51"/>
      <c r="AK82" s="51"/>
      <c r="AL82" s="51"/>
      <c r="AM82" s="51"/>
      <c r="AN82" s="2"/>
      <c r="AO82" s="3"/>
      <c r="AP82" s="3"/>
      <c r="AQ82" s="3"/>
      <c r="AR82" s="3"/>
    </row>
    <row r="83" spans="1:44" x14ac:dyDescent="0.45">
      <c r="A83" s="14" t="s">
        <v>211</v>
      </c>
      <c r="B83" s="15" t="s">
        <v>285</v>
      </c>
      <c r="C83" s="15"/>
      <c r="D83" s="81">
        <v>3.0216881627299825</v>
      </c>
      <c r="E83" s="78"/>
      <c r="F83" s="15"/>
      <c r="G83" s="15"/>
      <c r="H83" s="14" t="s">
        <v>211</v>
      </c>
      <c r="I83" s="66"/>
      <c r="J83" s="66"/>
      <c r="K83" s="16"/>
      <c r="L83" s="82"/>
      <c r="M83" s="83">
        <v>4377.57421875</v>
      </c>
      <c r="N83" s="83">
        <v>7863.81884765625</v>
      </c>
      <c r="O83" s="77"/>
      <c r="P83" s="84"/>
      <c r="Q83" s="84"/>
      <c r="R83" s="51">
        <v>4</v>
      </c>
      <c r="S83" s="85"/>
      <c r="T83" s="85"/>
      <c r="U83" s="52">
        <v>196.66666699999999</v>
      </c>
      <c r="V83" s="52">
        <v>8.6210000000000002E-3</v>
      </c>
      <c r="W83" s="52">
        <v>4.6522000000000001E-2</v>
      </c>
      <c r="X83" s="52">
        <v>1.5196639999999999</v>
      </c>
      <c r="Y83" s="52">
        <v>0</v>
      </c>
      <c r="Z83" s="52"/>
      <c r="AA83" s="79">
        <v>83</v>
      </c>
      <c r="AB83"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83" s="86"/>
      <c r="AD83" s="51"/>
      <c r="AE83" s="51"/>
      <c r="AF83" s="51"/>
      <c r="AG83" s="51"/>
      <c r="AH83" s="51"/>
      <c r="AI83" s="51"/>
      <c r="AJ83" s="51"/>
      <c r="AK83" s="51"/>
      <c r="AL83" s="51"/>
      <c r="AM83" s="51"/>
      <c r="AN83" s="2"/>
      <c r="AO83" s="3"/>
      <c r="AP83" s="3"/>
      <c r="AQ83" s="3"/>
      <c r="AR83" s="3"/>
    </row>
    <row r="84" spans="1:44" x14ac:dyDescent="0.45">
      <c r="A84" s="14" t="s">
        <v>183</v>
      </c>
      <c r="B84" s="15" t="s">
        <v>279</v>
      </c>
      <c r="C84" s="15"/>
      <c r="D84" s="81">
        <v>1.7114888603570875</v>
      </c>
      <c r="E84" s="78"/>
      <c r="F84" s="15"/>
      <c r="G84" s="15"/>
      <c r="H84" s="14" t="s">
        <v>183</v>
      </c>
      <c r="I84" s="66"/>
      <c r="J84" s="66"/>
      <c r="K84" s="16"/>
      <c r="L84" s="82"/>
      <c r="M84" s="83">
        <v>827.11944580078125</v>
      </c>
      <c r="N84" s="83">
        <v>7662.1474609375</v>
      </c>
      <c r="O84" s="77"/>
      <c r="P84" s="84"/>
      <c r="Q84" s="84"/>
      <c r="R84" s="51">
        <v>2</v>
      </c>
      <c r="S84" s="85"/>
      <c r="T84" s="85"/>
      <c r="U84" s="52">
        <v>27.333333</v>
      </c>
      <c r="V84" s="52">
        <v>7.2459999999999998E-3</v>
      </c>
      <c r="W84" s="52">
        <v>3.5829999999999998E-3</v>
      </c>
      <c r="X84" s="52">
        <v>0.80968700000000005</v>
      </c>
      <c r="Y84" s="52">
        <v>0</v>
      </c>
      <c r="Z84" s="52"/>
      <c r="AA84" s="79">
        <v>84</v>
      </c>
      <c r="AB84"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84" s="86"/>
      <c r="AD84" s="51"/>
      <c r="AE84" s="51"/>
      <c r="AF84" s="51"/>
      <c r="AG84" s="51"/>
      <c r="AH84" s="51"/>
      <c r="AI84" s="51"/>
      <c r="AJ84" s="104" t="s">
        <v>274</v>
      </c>
      <c r="AK84" s="104" t="s">
        <v>274</v>
      </c>
      <c r="AL84" s="104" t="s">
        <v>274</v>
      </c>
      <c r="AM84" s="104" t="s">
        <v>274</v>
      </c>
      <c r="AN84" s="2"/>
      <c r="AO84" s="3"/>
      <c r="AP84" s="3"/>
      <c r="AQ84" s="3"/>
      <c r="AR84" s="3"/>
    </row>
    <row r="85" spans="1:44" x14ac:dyDescent="0.45">
      <c r="A85" s="14" t="s">
        <v>212</v>
      </c>
      <c r="B85" s="15" t="s">
        <v>278</v>
      </c>
      <c r="C85" s="15"/>
      <c r="D85" s="81">
        <v>1.5</v>
      </c>
      <c r="E85" s="78"/>
      <c r="F85" s="15"/>
      <c r="G85" s="15"/>
      <c r="H85" s="14" t="s">
        <v>212</v>
      </c>
      <c r="I85" s="66"/>
      <c r="J85" s="66"/>
      <c r="K85" s="16"/>
      <c r="L85" s="82"/>
      <c r="M85" s="83">
        <v>290.27764892578125</v>
      </c>
      <c r="N85" s="83">
        <v>6206.05322265625</v>
      </c>
      <c r="O85" s="77"/>
      <c r="P85" s="84"/>
      <c r="Q85" s="84"/>
      <c r="R85" s="51">
        <v>1</v>
      </c>
      <c r="S85" s="85"/>
      <c r="T85" s="85"/>
      <c r="U85" s="52">
        <v>0</v>
      </c>
      <c r="V85" s="52">
        <v>6.757E-3</v>
      </c>
      <c r="W85" s="52">
        <v>3.3949E-2</v>
      </c>
      <c r="X85" s="52">
        <v>0.50815399999999999</v>
      </c>
      <c r="Y85" s="52">
        <v>0</v>
      </c>
      <c r="Z85" s="52"/>
      <c r="AA85" s="79">
        <v>85</v>
      </c>
      <c r="AB85"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85" s="86"/>
      <c r="AD85" s="51"/>
      <c r="AE85" s="51"/>
      <c r="AF85" s="51"/>
      <c r="AG85" s="51"/>
      <c r="AH85" s="51"/>
      <c r="AI85" s="51"/>
      <c r="AJ85" s="51"/>
      <c r="AK85" s="51"/>
      <c r="AL85" s="51"/>
      <c r="AM85" s="51"/>
      <c r="AN85" s="2"/>
      <c r="AO85" s="3"/>
      <c r="AP85" s="3"/>
      <c r="AQ85" s="3"/>
      <c r="AR85" s="3"/>
    </row>
    <row r="86" spans="1:44" x14ac:dyDescent="0.45">
      <c r="A86" s="14" t="s">
        <v>213</v>
      </c>
      <c r="B86" s="15" t="s">
        <v>278</v>
      </c>
      <c r="C86" s="15"/>
      <c r="D86" s="81">
        <v>1.5</v>
      </c>
      <c r="E86" s="78"/>
      <c r="F86" s="15"/>
      <c r="G86" s="15"/>
      <c r="H86" s="14" t="s">
        <v>213</v>
      </c>
      <c r="I86" s="66"/>
      <c r="J86" s="66"/>
      <c r="K86" s="16"/>
      <c r="L86" s="82"/>
      <c r="M86" s="83">
        <v>5676.16455078125</v>
      </c>
      <c r="N86" s="83">
        <v>7575.69677734375</v>
      </c>
      <c r="O86" s="77"/>
      <c r="P86" s="84"/>
      <c r="Q86" s="84"/>
      <c r="R86" s="51">
        <v>1</v>
      </c>
      <c r="S86" s="85"/>
      <c r="T86" s="85"/>
      <c r="U86" s="52">
        <v>0</v>
      </c>
      <c r="V86" s="52">
        <v>6.757E-3</v>
      </c>
      <c r="W86" s="52">
        <v>3.3949E-2</v>
      </c>
      <c r="X86" s="52">
        <v>0.50815399999999999</v>
      </c>
      <c r="Y86" s="52">
        <v>0</v>
      </c>
      <c r="Z86" s="52"/>
      <c r="AA86" s="79">
        <v>86</v>
      </c>
      <c r="AB86"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86" s="86"/>
      <c r="AD86" s="51"/>
      <c r="AE86" s="51"/>
      <c r="AF86" s="51"/>
      <c r="AG86" s="51"/>
      <c r="AH86" s="51"/>
      <c r="AI86" s="51"/>
      <c r="AJ86" s="51"/>
      <c r="AK86" s="51"/>
      <c r="AL86" s="51"/>
      <c r="AM86" s="51"/>
      <c r="AN86" s="2"/>
      <c r="AO86" s="3"/>
      <c r="AP86" s="3"/>
      <c r="AQ86" s="3"/>
      <c r="AR86" s="3"/>
    </row>
    <row r="87" spans="1:44" x14ac:dyDescent="0.45">
      <c r="A87" s="14" t="s">
        <v>184</v>
      </c>
      <c r="B87" s="15" t="s">
        <v>278</v>
      </c>
      <c r="C87" s="15"/>
      <c r="D87" s="81">
        <v>1.5</v>
      </c>
      <c r="E87" s="78"/>
      <c r="F87" s="15"/>
      <c r="G87" s="15"/>
      <c r="H87" s="14" t="s">
        <v>184</v>
      </c>
      <c r="I87" s="66"/>
      <c r="J87" s="66"/>
      <c r="K87" s="16"/>
      <c r="L87" s="82"/>
      <c r="M87" s="83">
        <v>9550.970703125</v>
      </c>
      <c r="N87" s="83">
        <v>1798.240234375</v>
      </c>
      <c r="O87" s="77"/>
      <c r="P87" s="84"/>
      <c r="Q87" s="84"/>
      <c r="R87" s="51">
        <v>1</v>
      </c>
      <c r="S87" s="85"/>
      <c r="T87" s="85"/>
      <c r="U87" s="52">
        <v>0</v>
      </c>
      <c r="V87" s="52">
        <v>1</v>
      </c>
      <c r="W87" s="52">
        <v>0</v>
      </c>
      <c r="X87" s="52">
        <v>0.99999000000000005</v>
      </c>
      <c r="Y87" s="52">
        <v>0</v>
      </c>
      <c r="Z87" s="52"/>
      <c r="AA87" s="79">
        <v>87</v>
      </c>
      <c r="AB87"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87" s="86"/>
      <c r="AD87" s="51"/>
      <c r="AE87" s="51"/>
      <c r="AF87" s="51"/>
      <c r="AG87" s="51"/>
      <c r="AH87" s="51"/>
      <c r="AI87" s="51"/>
      <c r="AJ87" s="104" t="s">
        <v>274</v>
      </c>
      <c r="AK87" s="104" t="s">
        <v>274</v>
      </c>
      <c r="AL87" s="104" t="s">
        <v>274</v>
      </c>
      <c r="AM87" s="104" t="s">
        <v>274</v>
      </c>
      <c r="AN87" s="2"/>
      <c r="AO87" s="3"/>
      <c r="AP87" s="3"/>
      <c r="AQ87" s="3"/>
      <c r="AR87" s="3"/>
    </row>
    <row r="88" spans="1:44" x14ac:dyDescent="0.45">
      <c r="A88" s="14" t="s">
        <v>214</v>
      </c>
      <c r="B88" s="15" t="s">
        <v>278</v>
      </c>
      <c r="C88" s="15"/>
      <c r="D88" s="81">
        <v>1.5</v>
      </c>
      <c r="E88" s="78"/>
      <c r="F88" s="15"/>
      <c r="G88" s="15"/>
      <c r="H88" s="14" t="s">
        <v>214</v>
      </c>
      <c r="I88" s="66"/>
      <c r="J88" s="66"/>
      <c r="K88" s="16"/>
      <c r="L88" s="82"/>
      <c r="M88" s="83">
        <v>8914.306640625</v>
      </c>
      <c r="N88" s="83">
        <v>6889.1611328125</v>
      </c>
      <c r="O88" s="77"/>
      <c r="P88" s="84"/>
      <c r="Q88" s="84"/>
      <c r="R88" s="51">
        <v>1</v>
      </c>
      <c r="S88" s="85"/>
      <c r="T88" s="85"/>
      <c r="U88" s="52">
        <v>0</v>
      </c>
      <c r="V88" s="52">
        <v>1</v>
      </c>
      <c r="W88" s="52">
        <v>0</v>
      </c>
      <c r="X88" s="52">
        <v>0.99999000000000005</v>
      </c>
      <c r="Y88" s="52">
        <v>0</v>
      </c>
      <c r="Z88" s="52"/>
      <c r="AA88" s="79">
        <v>88</v>
      </c>
      <c r="AB88"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88" s="86"/>
      <c r="AD88" s="51"/>
      <c r="AE88" s="51"/>
      <c r="AF88" s="51"/>
      <c r="AG88" s="51"/>
      <c r="AH88" s="51"/>
      <c r="AI88" s="51"/>
      <c r="AJ88" s="51"/>
      <c r="AK88" s="51"/>
      <c r="AL88" s="51"/>
      <c r="AM88" s="51"/>
      <c r="AN88" s="2"/>
      <c r="AO88" s="3"/>
      <c r="AP88" s="3"/>
      <c r="AQ88" s="3"/>
      <c r="AR88" s="3"/>
    </row>
    <row r="89" spans="1:44" x14ac:dyDescent="0.45">
      <c r="A89" s="14" t="s">
        <v>215</v>
      </c>
      <c r="B89" s="15" t="s">
        <v>278</v>
      </c>
      <c r="C89" s="15"/>
      <c r="D89" s="81">
        <v>1.5</v>
      </c>
      <c r="E89" s="78"/>
      <c r="F89" s="15"/>
      <c r="G89" s="15"/>
      <c r="H89" s="14" t="s">
        <v>215</v>
      </c>
      <c r="I89" s="66"/>
      <c r="J89" s="66"/>
      <c r="K89" s="16"/>
      <c r="L89" s="82"/>
      <c r="M89" s="83">
        <v>2021.6724853515625</v>
      </c>
      <c r="N89" s="83">
        <v>8947.0302734375</v>
      </c>
      <c r="O89" s="77"/>
      <c r="P89" s="84"/>
      <c r="Q89" s="84"/>
      <c r="R89" s="51">
        <v>1</v>
      </c>
      <c r="S89" s="85"/>
      <c r="T89" s="85"/>
      <c r="U89" s="52">
        <v>0</v>
      </c>
      <c r="V89" s="52">
        <v>6.3290000000000004E-3</v>
      </c>
      <c r="W89" s="52">
        <v>6.5550000000000001E-3</v>
      </c>
      <c r="X89" s="52">
        <v>0.49989400000000001</v>
      </c>
      <c r="Y89" s="52">
        <v>0</v>
      </c>
      <c r="Z89" s="52"/>
      <c r="AA89" s="79">
        <v>89</v>
      </c>
      <c r="AB89"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89" s="86"/>
      <c r="AD89" s="51"/>
      <c r="AE89" s="51"/>
      <c r="AF89" s="51"/>
      <c r="AG89" s="51"/>
      <c r="AH89" s="51"/>
      <c r="AI89" s="51"/>
      <c r="AJ89" s="51"/>
      <c r="AK89" s="51"/>
      <c r="AL89" s="51"/>
      <c r="AM89" s="51"/>
      <c r="AN89" s="2"/>
      <c r="AO89" s="3"/>
      <c r="AP89" s="3"/>
      <c r="AQ89" s="3"/>
      <c r="AR89" s="3"/>
    </row>
    <row r="90" spans="1:44" x14ac:dyDescent="0.45">
      <c r="A90" s="14" t="s">
        <v>216</v>
      </c>
      <c r="B90" s="15" t="s">
        <v>283</v>
      </c>
      <c r="C90" s="15"/>
      <c r="D90" s="81">
        <v>3.3415005870300121</v>
      </c>
      <c r="E90" s="78"/>
      <c r="F90" s="15"/>
      <c r="G90" s="15"/>
      <c r="H90" s="14" t="s">
        <v>216</v>
      </c>
      <c r="I90" s="66"/>
      <c r="J90" s="66"/>
      <c r="K90" s="16"/>
      <c r="L90" s="82"/>
      <c r="M90" s="83">
        <v>5379.9912109375</v>
      </c>
      <c r="N90" s="83">
        <v>305.221923828125</v>
      </c>
      <c r="O90" s="77"/>
      <c r="P90" s="84"/>
      <c r="Q90" s="84"/>
      <c r="R90" s="51">
        <v>5</v>
      </c>
      <c r="S90" s="85"/>
      <c r="T90" s="85"/>
      <c r="U90" s="52">
        <v>238</v>
      </c>
      <c r="V90" s="52">
        <v>7.5760000000000003E-3</v>
      </c>
      <c r="W90" s="52">
        <v>1.8232999999999999E-2</v>
      </c>
      <c r="X90" s="52">
        <v>1.9857929999999999</v>
      </c>
      <c r="Y90" s="52">
        <v>0</v>
      </c>
      <c r="Z90" s="52"/>
      <c r="AA90" s="79">
        <v>90</v>
      </c>
      <c r="AB90"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90" s="86"/>
      <c r="AD90" s="51"/>
      <c r="AE90" s="51"/>
      <c r="AF90" s="51"/>
      <c r="AG90" s="51"/>
      <c r="AH90" s="51"/>
      <c r="AI90" s="51"/>
      <c r="AJ90" s="51"/>
      <c r="AK90" s="51"/>
      <c r="AL90" s="51"/>
      <c r="AM90" s="51"/>
      <c r="AN90" s="2"/>
      <c r="AO90" s="3"/>
      <c r="AP90" s="3"/>
      <c r="AQ90" s="3"/>
      <c r="AR90" s="3"/>
    </row>
    <row r="91" spans="1:44" x14ac:dyDescent="0.45">
      <c r="A91" s="14" t="s">
        <v>185</v>
      </c>
      <c r="B91" s="15" t="s">
        <v>279</v>
      </c>
      <c r="C91" s="15"/>
      <c r="D91" s="81">
        <v>1.855920281526809</v>
      </c>
      <c r="E91" s="78"/>
      <c r="F91" s="15"/>
      <c r="G91" s="15"/>
      <c r="H91" s="14" t="s">
        <v>185</v>
      </c>
      <c r="I91" s="66"/>
      <c r="J91" s="66"/>
      <c r="K91" s="16"/>
      <c r="L91" s="82"/>
      <c r="M91" s="83">
        <v>3343.029052734375</v>
      </c>
      <c r="N91" s="83">
        <v>1245.811767578125</v>
      </c>
      <c r="O91" s="77"/>
      <c r="P91" s="84"/>
      <c r="Q91" s="84"/>
      <c r="R91" s="51">
        <v>2</v>
      </c>
      <c r="S91" s="85"/>
      <c r="T91" s="85"/>
      <c r="U91" s="52">
        <v>46</v>
      </c>
      <c r="V91" s="52">
        <v>5.6820000000000004E-3</v>
      </c>
      <c r="W91" s="52">
        <v>1.142E-3</v>
      </c>
      <c r="X91" s="52">
        <v>0.962947</v>
      </c>
      <c r="Y91" s="52">
        <v>0</v>
      </c>
      <c r="Z91" s="52"/>
      <c r="AA91" s="79">
        <v>91</v>
      </c>
      <c r="AB91"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91" s="86"/>
      <c r="AD91" s="51"/>
      <c r="AE91" s="51"/>
      <c r="AF91" s="51"/>
      <c r="AG91" s="51"/>
      <c r="AH91" s="51"/>
      <c r="AI91" s="51"/>
      <c r="AJ91" s="104" t="s">
        <v>274</v>
      </c>
      <c r="AK91" s="104" t="s">
        <v>274</v>
      </c>
      <c r="AL91" s="104" t="s">
        <v>274</v>
      </c>
      <c r="AM91" s="104" t="s">
        <v>274</v>
      </c>
      <c r="AN91" s="2"/>
      <c r="AO91" s="3"/>
      <c r="AP91" s="3"/>
      <c r="AQ91" s="3"/>
      <c r="AR91" s="3"/>
    </row>
    <row r="92" spans="1:44" x14ac:dyDescent="0.45">
      <c r="A92" s="14" t="s">
        <v>217</v>
      </c>
      <c r="B92" s="15" t="s">
        <v>278</v>
      </c>
      <c r="C92" s="15"/>
      <c r="D92" s="81">
        <v>1.5</v>
      </c>
      <c r="E92" s="78"/>
      <c r="F92" s="15"/>
      <c r="G92" s="15"/>
      <c r="H92" s="14" t="s">
        <v>217</v>
      </c>
      <c r="I92" s="66"/>
      <c r="J92" s="66"/>
      <c r="K92" s="16"/>
      <c r="L92" s="82"/>
      <c r="M92" s="83">
        <v>9679.935546875</v>
      </c>
      <c r="N92" s="83">
        <v>6786.5478515625</v>
      </c>
      <c r="O92" s="77"/>
      <c r="P92" s="84"/>
      <c r="Q92" s="84"/>
      <c r="R92" s="51">
        <v>1</v>
      </c>
      <c r="S92" s="85"/>
      <c r="T92" s="85"/>
      <c r="U92" s="52">
        <v>0</v>
      </c>
      <c r="V92" s="52">
        <v>5.8820000000000001E-3</v>
      </c>
      <c r="W92" s="52">
        <v>3.5170000000000002E-3</v>
      </c>
      <c r="X92" s="52">
        <v>0.48528199999999999</v>
      </c>
      <c r="Y92" s="52">
        <v>0</v>
      </c>
      <c r="Z92" s="52"/>
      <c r="AA92" s="79">
        <v>92</v>
      </c>
      <c r="AB92"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92" s="86"/>
      <c r="AD92" s="51"/>
      <c r="AE92" s="51"/>
      <c r="AF92" s="51"/>
      <c r="AG92" s="51"/>
      <c r="AH92" s="51"/>
      <c r="AI92" s="51"/>
      <c r="AJ92" s="51"/>
      <c r="AK92" s="51"/>
      <c r="AL92" s="51"/>
      <c r="AM92" s="51"/>
      <c r="AN92" s="2"/>
      <c r="AO92" s="3"/>
      <c r="AP92" s="3"/>
      <c r="AQ92" s="3"/>
      <c r="AR92" s="3"/>
    </row>
    <row r="93" spans="1:44" x14ac:dyDescent="0.45">
      <c r="A93" s="14" t="s">
        <v>218</v>
      </c>
      <c r="B93" s="15" t="s">
        <v>278</v>
      </c>
      <c r="C93" s="15"/>
      <c r="D93" s="81">
        <v>1.5</v>
      </c>
      <c r="E93" s="78"/>
      <c r="F93" s="15"/>
      <c r="G93" s="15"/>
      <c r="H93" s="14" t="s">
        <v>218</v>
      </c>
      <c r="I93" s="66"/>
      <c r="J93" s="66"/>
      <c r="K93" s="16"/>
      <c r="L93" s="82"/>
      <c r="M93" s="83">
        <v>3526.61962890625</v>
      </c>
      <c r="N93" s="83">
        <v>8028.3642578125</v>
      </c>
      <c r="O93" s="77"/>
      <c r="P93" s="84"/>
      <c r="Q93" s="84"/>
      <c r="R93" s="51">
        <v>1</v>
      </c>
      <c r="S93" s="85"/>
      <c r="T93" s="85"/>
      <c r="U93" s="52">
        <v>0</v>
      </c>
      <c r="V93" s="52">
        <v>6.757E-3</v>
      </c>
      <c r="W93" s="52">
        <v>3.3949E-2</v>
      </c>
      <c r="X93" s="52">
        <v>0.50815399999999999</v>
      </c>
      <c r="Y93" s="52">
        <v>0</v>
      </c>
      <c r="Z93" s="52"/>
      <c r="AA93" s="79">
        <v>93</v>
      </c>
      <c r="AB93"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93" s="86"/>
      <c r="AD93" s="51"/>
      <c r="AE93" s="51"/>
      <c r="AF93" s="51"/>
      <c r="AG93" s="51"/>
      <c r="AH93" s="51"/>
      <c r="AI93" s="51"/>
      <c r="AJ93" s="51"/>
      <c r="AK93" s="51"/>
      <c r="AL93" s="51"/>
      <c r="AM93" s="51"/>
      <c r="AN93" s="2"/>
      <c r="AO93" s="3"/>
      <c r="AP93" s="3"/>
      <c r="AQ93" s="3"/>
      <c r="AR93" s="3"/>
    </row>
    <row r="94" spans="1:44" x14ac:dyDescent="0.45">
      <c r="A94" s="14" t="s">
        <v>219</v>
      </c>
      <c r="B94" s="15" t="s">
        <v>285</v>
      </c>
      <c r="C94" s="15"/>
      <c r="D94" s="81">
        <v>2.750879252872628</v>
      </c>
      <c r="E94" s="78"/>
      <c r="F94" s="15"/>
      <c r="G94" s="15"/>
      <c r="H94" s="14" t="s">
        <v>219</v>
      </c>
      <c r="I94" s="66"/>
      <c r="J94" s="66"/>
      <c r="K94" s="16"/>
      <c r="L94" s="82"/>
      <c r="M94" s="83">
        <v>1301.6588134765625</v>
      </c>
      <c r="N94" s="83">
        <v>3581.384033203125</v>
      </c>
      <c r="O94" s="77"/>
      <c r="P94" s="84"/>
      <c r="Q94" s="84"/>
      <c r="R94" s="51">
        <v>4</v>
      </c>
      <c r="S94" s="85"/>
      <c r="T94" s="85"/>
      <c r="U94" s="52">
        <v>161.66666699999999</v>
      </c>
      <c r="V94" s="52">
        <v>7.0419999999999996E-3</v>
      </c>
      <c r="W94" s="52">
        <v>1.3136E-2</v>
      </c>
      <c r="X94" s="52">
        <v>1.584754</v>
      </c>
      <c r="Y94" s="52">
        <v>0</v>
      </c>
      <c r="Z94" s="52"/>
      <c r="AA94" s="79">
        <v>94</v>
      </c>
      <c r="AB94"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94" s="86"/>
      <c r="AD94" s="51"/>
      <c r="AE94" s="51"/>
      <c r="AF94" s="51"/>
      <c r="AG94" s="51"/>
      <c r="AH94" s="51"/>
      <c r="AI94" s="51"/>
      <c r="AJ94" s="51"/>
      <c r="AK94" s="51"/>
      <c r="AL94" s="51"/>
      <c r="AM94" s="51"/>
      <c r="AN94" s="2"/>
      <c r="AO94" s="3"/>
      <c r="AP94" s="3"/>
      <c r="AQ94" s="3"/>
      <c r="AR94" s="3"/>
    </row>
    <row r="95" spans="1:44" x14ac:dyDescent="0.45">
      <c r="A95" s="14" t="s">
        <v>220</v>
      </c>
      <c r="B95" s="15" t="s">
        <v>278</v>
      </c>
      <c r="C95" s="15"/>
      <c r="D95" s="81">
        <v>1.5</v>
      </c>
      <c r="E95" s="78"/>
      <c r="F95" s="15"/>
      <c r="G95" s="15"/>
      <c r="H95" s="14" t="s">
        <v>220</v>
      </c>
      <c r="I95" s="66"/>
      <c r="J95" s="66"/>
      <c r="K95" s="16"/>
      <c r="L95" s="82"/>
      <c r="M95" s="83">
        <v>1652.13623046875</v>
      </c>
      <c r="N95" s="83">
        <v>5026.451171875</v>
      </c>
      <c r="O95" s="77"/>
      <c r="P95" s="84"/>
      <c r="Q95" s="84"/>
      <c r="R95" s="51">
        <v>1</v>
      </c>
      <c r="S95" s="85"/>
      <c r="T95" s="85"/>
      <c r="U95" s="52">
        <v>0</v>
      </c>
      <c r="V95" s="52">
        <v>4.5050000000000003E-3</v>
      </c>
      <c r="W95" s="52">
        <v>7.8799999999999996E-4</v>
      </c>
      <c r="X95" s="52">
        <v>0.55925199999999997</v>
      </c>
      <c r="Y95" s="52">
        <v>0</v>
      </c>
      <c r="Z95" s="52"/>
      <c r="AA95" s="79">
        <v>95</v>
      </c>
      <c r="AB95"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95" s="86"/>
      <c r="AD95" s="51"/>
      <c r="AE95" s="51"/>
      <c r="AF95" s="51"/>
      <c r="AG95" s="51"/>
      <c r="AH95" s="51"/>
      <c r="AI95" s="51"/>
      <c r="AJ95" s="51"/>
      <c r="AK95" s="51"/>
      <c r="AL95" s="51"/>
      <c r="AM95" s="51"/>
      <c r="AN95" s="2"/>
      <c r="AO95" s="3"/>
      <c r="AP95" s="3"/>
      <c r="AQ95" s="3"/>
      <c r="AR95" s="3"/>
    </row>
    <row r="96" spans="1:44" x14ac:dyDescent="0.45">
      <c r="A96" s="14" t="s">
        <v>221</v>
      </c>
      <c r="B96" s="15" t="s">
        <v>278</v>
      </c>
      <c r="C96" s="15"/>
      <c r="D96" s="81">
        <v>1.5</v>
      </c>
      <c r="E96" s="78"/>
      <c r="F96" s="15"/>
      <c r="G96" s="15"/>
      <c r="H96" s="14" t="s">
        <v>221</v>
      </c>
      <c r="I96" s="66"/>
      <c r="J96" s="66"/>
      <c r="K96" s="16"/>
      <c r="L96" s="82"/>
      <c r="M96" s="83">
        <v>3891.89404296875</v>
      </c>
      <c r="N96" s="83">
        <v>9849.2314453125</v>
      </c>
      <c r="O96" s="77"/>
      <c r="P96" s="84"/>
      <c r="Q96" s="84"/>
      <c r="R96" s="51">
        <v>1</v>
      </c>
      <c r="S96" s="85"/>
      <c r="T96" s="85"/>
      <c r="U96" s="52">
        <v>0</v>
      </c>
      <c r="V96" s="52">
        <v>6.757E-3</v>
      </c>
      <c r="W96" s="52">
        <v>3.3949E-2</v>
      </c>
      <c r="X96" s="52">
        <v>0.50815399999999999</v>
      </c>
      <c r="Y96" s="52">
        <v>0</v>
      </c>
      <c r="Z96" s="52"/>
      <c r="AA96" s="79">
        <v>96</v>
      </c>
      <c r="AB96"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96" s="86"/>
      <c r="AD96" s="51"/>
      <c r="AE96" s="51"/>
      <c r="AF96" s="51"/>
      <c r="AG96" s="51"/>
      <c r="AH96" s="51"/>
      <c r="AI96" s="51"/>
      <c r="AJ96" s="51"/>
      <c r="AK96" s="51"/>
      <c r="AL96" s="51"/>
      <c r="AM96" s="51"/>
      <c r="AN96" s="2"/>
      <c r="AO96" s="3"/>
      <c r="AP96" s="3"/>
      <c r="AQ96" s="3"/>
      <c r="AR96" s="3"/>
    </row>
    <row r="97" spans="1:44" x14ac:dyDescent="0.45">
      <c r="A97" s="14" t="s">
        <v>222</v>
      </c>
      <c r="B97" s="15" t="s">
        <v>279</v>
      </c>
      <c r="C97" s="15"/>
      <c r="D97" s="81">
        <v>2.4168815948027582</v>
      </c>
      <c r="E97" s="78"/>
      <c r="F97" s="15"/>
      <c r="G97" s="15"/>
      <c r="H97" s="14" t="s">
        <v>222</v>
      </c>
      <c r="I97" s="66"/>
      <c r="J97" s="66"/>
      <c r="K97" s="16"/>
      <c r="L97" s="82"/>
      <c r="M97" s="83">
        <v>6880.24169921875</v>
      </c>
      <c r="N97" s="83">
        <v>1128.649169921875</v>
      </c>
      <c r="O97" s="77"/>
      <c r="P97" s="84"/>
      <c r="Q97" s="84"/>
      <c r="R97" s="51">
        <v>2</v>
      </c>
      <c r="S97" s="85"/>
      <c r="T97" s="85"/>
      <c r="U97" s="52">
        <v>118.5</v>
      </c>
      <c r="V97" s="52">
        <v>8.7720000000000003E-3</v>
      </c>
      <c r="W97" s="52">
        <v>4.0502999999999997E-2</v>
      </c>
      <c r="X97" s="52">
        <v>0.85804800000000003</v>
      </c>
      <c r="Y97" s="52">
        <v>0</v>
      </c>
      <c r="Z97" s="52"/>
      <c r="AA97" s="79">
        <v>97</v>
      </c>
      <c r="AB97"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97" s="86"/>
      <c r="AD97" s="51"/>
      <c r="AE97" s="51"/>
      <c r="AF97" s="51"/>
      <c r="AG97" s="51"/>
      <c r="AH97" s="51"/>
      <c r="AI97" s="51"/>
      <c r="AJ97" s="51"/>
      <c r="AK97" s="51"/>
      <c r="AL97" s="51"/>
      <c r="AM97" s="51"/>
      <c r="AN97" s="2"/>
      <c r="AO97" s="3"/>
      <c r="AP97" s="3"/>
      <c r="AQ97" s="3"/>
      <c r="AR97" s="3"/>
    </row>
    <row r="98" spans="1:44" x14ac:dyDescent="0.45">
      <c r="A98" s="14" t="s">
        <v>223</v>
      </c>
      <c r="B98" s="15" t="s">
        <v>279</v>
      </c>
      <c r="C98" s="15"/>
      <c r="D98" s="81">
        <v>2.4168815948027582</v>
      </c>
      <c r="E98" s="78"/>
      <c r="F98" s="15"/>
      <c r="G98" s="15"/>
      <c r="H98" s="14" t="s">
        <v>223</v>
      </c>
      <c r="I98" s="66"/>
      <c r="J98" s="66"/>
      <c r="K98" s="16"/>
      <c r="L98" s="82"/>
      <c r="M98" s="83">
        <v>8858.4150390625</v>
      </c>
      <c r="N98" s="83">
        <v>2871.363525390625</v>
      </c>
      <c r="O98" s="77"/>
      <c r="P98" s="84"/>
      <c r="Q98" s="84"/>
      <c r="R98" s="51">
        <v>2</v>
      </c>
      <c r="S98" s="85"/>
      <c r="T98" s="85"/>
      <c r="U98" s="52">
        <v>118.5</v>
      </c>
      <c r="V98" s="52">
        <v>8.7720000000000003E-3</v>
      </c>
      <c r="W98" s="52">
        <v>4.0502999999999997E-2</v>
      </c>
      <c r="X98" s="52">
        <v>0.85804800000000003</v>
      </c>
      <c r="Y98" s="52">
        <v>0</v>
      </c>
      <c r="Z98" s="52"/>
      <c r="AA98" s="79">
        <v>98</v>
      </c>
      <c r="AB98"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98" s="86"/>
      <c r="AD98" s="51"/>
      <c r="AE98" s="51"/>
      <c r="AF98" s="51"/>
      <c r="AG98" s="51"/>
      <c r="AH98" s="51"/>
      <c r="AI98" s="51"/>
      <c r="AJ98" s="51"/>
      <c r="AK98" s="51"/>
      <c r="AL98" s="51"/>
      <c r="AM98" s="51"/>
      <c r="AN98" s="2"/>
      <c r="AO98" s="3"/>
      <c r="AP98" s="3"/>
      <c r="AQ98" s="3"/>
      <c r="AR98" s="3"/>
    </row>
    <row r="99" spans="1:44" x14ac:dyDescent="0.45">
      <c r="A99" s="14" t="s">
        <v>224</v>
      </c>
      <c r="B99" s="15" t="s">
        <v>278</v>
      </c>
      <c r="C99" s="15"/>
      <c r="D99" s="81">
        <v>1.5</v>
      </c>
      <c r="E99" s="78"/>
      <c r="F99" s="15"/>
      <c r="G99" s="15"/>
      <c r="H99" s="14" t="s">
        <v>224</v>
      </c>
      <c r="I99" s="66"/>
      <c r="J99" s="66"/>
      <c r="K99" s="16"/>
      <c r="L99" s="82"/>
      <c r="M99" s="83">
        <v>1405.503662109375</v>
      </c>
      <c r="N99" s="83">
        <v>9364.0634765625</v>
      </c>
      <c r="O99" s="77"/>
      <c r="P99" s="84"/>
      <c r="Q99" s="84"/>
      <c r="R99" s="51">
        <v>1</v>
      </c>
      <c r="S99" s="85"/>
      <c r="T99" s="85"/>
      <c r="U99" s="52">
        <v>0</v>
      </c>
      <c r="V99" s="52">
        <v>6.757E-3</v>
      </c>
      <c r="W99" s="52">
        <v>3.3949E-2</v>
      </c>
      <c r="X99" s="52">
        <v>0.50815399999999999</v>
      </c>
      <c r="Y99" s="52">
        <v>0</v>
      </c>
      <c r="Z99" s="52"/>
      <c r="AA99" s="79">
        <v>99</v>
      </c>
      <c r="AB99"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99" s="86"/>
      <c r="AD99" s="51"/>
      <c r="AE99" s="51"/>
      <c r="AF99" s="51"/>
      <c r="AG99" s="51"/>
      <c r="AH99" s="51"/>
      <c r="AI99" s="51"/>
      <c r="AJ99" s="51"/>
      <c r="AK99" s="51"/>
      <c r="AL99" s="51"/>
      <c r="AM99" s="51"/>
      <c r="AN99" s="2"/>
      <c r="AO99" s="3"/>
      <c r="AP99" s="3"/>
      <c r="AQ99" s="3"/>
      <c r="AR99" s="3"/>
    </row>
    <row r="100" spans="1:44" x14ac:dyDescent="0.45">
      <c r="A100" s="14" t="s">
        <v>186</v>
      </c>
      <c r="B100" s="15" t="s">
        <v>285</v>
      </c>
      <c r="C100" s="15"/>
      <c r="D100" s="81">
        <v>1.5077373974244959</v>
      </c>
      <c r="E100" s="78"/>
      <c r="F100" s="15"/>
      <c r="G100" s="15"/>
      <c r="H100" s="14" t="s">
        <v>186</v>
      </c>
      <c r="I100" s="66"/>
      <c r="J100" s="66"/>
      <c r="K100" s="16"/>
      <c r="L100" s="82"/>
      <c r="M100" s="83">
        <v>8483.9833984375</v>
      </c>
      <c r="N100" s="83">
        <v>6362.6962890625</v>
      </c>
      <c r="O100" s="77"/>
      <c r="P100" s="84"/>
      <c r="Q100" s="84"/>
      <c r="R100" s="51">
        <v>4</v>
      </c>
      <c r="S100" s="85"/>
      <c r="T100" s="85"/>
      <c r="U100" s="52">
        <v>1</v>
      </c>
      <c r="V100" s="52">
        <v>0.5</v>
      </c>
      <c r="W100" s="52">
        <v>0</v>
      </c>
      <c r="X100" s="52">
        <v>1.723387</v>
      </c>
      <c r="Y100" s="52">
        <v>0</v>
      </c>
      <c r="Z100" s="52"/>
      <c r="AA100" s="79">
        <v>100</v>
      </c>
      <c r="AB100"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00" s="86"/>
      <c r="AD100" s="51"/>
      <c r="AE100" s="51"/>
      <c r="AF100" s="51"/>
      <c r="AG100" s="51"/>
      <c r="AH100" s="51"/>
      <c r="AI100" s="51"/>
      <c r="AJ100" s="104" t="s">
        <v>274</v>
      </c>
      <c r="AK100" s="104" t="s">
        <v>274</v>
      </c>
      <c r="AL100" s="104" t="s">
        <v>274</v>
      </c>
      <c r="AM100" s="104" t="s">
        <v>274</v>
      </c>
      <c r="AN100" s="2"/>
      <c r="AO100" s="3"/>
      <c r="AP100" s="3"/>
      <c r="AQ100" s="3"/>
      <c r="AR100" s="3"/>
    </row>
    <row r="101" spans="1:44" x14ac:dyDescent="0.45">
      <c r="A101" s="14" t="s">
        <v>225</v>
      </c>
      <c r="B101" s="15" t="s">
        <v>278</v>
      </c>
      <c r="C101" s="15"/>
      <c r="D101" s="81">
        <v>1.5</v>
      </c>
      <c r="E101" s="78"/>
      <c r="F101" s="15"/>
      <c r="G101" s="15"/>
      <c r="H101" s="14" t="s">
        <v>225</v>
      </c>
      <c r="I101" s="66"/>
      <c r="J101" s="66"/>
      <c r="K101" s="16"/>
      <c r="L101" s="82"/>
      <c r="M101" s="83">
        <v>9313.6923828125</v>
      </c>
      <c r="N101" s="83">
        <v>4476.34716796875</v>
      </c>
      <c r="O101" s="77"/>
      <c r="P101" s="84"/>
      <c r="Q101" s="84"/>
      <c r="R101" s="51">
        <v>1</v>
      </c>
      <c r="S101" s="85"/>
      <c r="T101" s="85"/>
      <c r="U101" s="52">
        <v>0</v>
      </c>
      <c r="V101" s="52">
        <v>0.33333299999999999</v>
      </c>
      <c r="W101" s="52">
        <v>0</v>
      </c>
      <c r="X101" s="52">
        <v>0.63829199999999997</v>
      </c>
      <c r="Y101" s="52">
        <v>0</v>
      </c>
      <c r="Z101" s="52"/>
      <c r="AA101" s="79">
        <v>101</v>
      </c>
      <c r="AB101"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01" s="86"/>
      <c r="AD101" s="51"/>
      <c r="AE101" s="51"/>
      <c r="AF101" s="51"/>
      <c r="AG101" s="51"/>
      <c r="AH101" s="51"/>
      <c r="AI101" s="51"/>
      <c r="AJ101" s="51"/>
      <c r="AK101" s="51"/>
      <c r="AL101" s="51"/>
      <c r="AM101" s="51"/>
      <c r="AN101" s="2"/>
      <c r="AO101" s="3"/>
      <c r="AP101" s="3"/>
      <c r="AQ101" s="3"/>
      <c r="AR101" s="3"/>
    </row>
    <row r="102" spans="1:44" x14ac:dyDescent="0.45">
      <c r="A102" s="14" t="s">
        <v>226</v>
      </c>
      <c r="B102" s="15" t="s">
        <v>278</v>
      </c>
      <c r="C102" s="15"/>
      <c r="D102" s="81">
        <v>1.5</v>
      </c>
      <c r="E102" s="78"/>
      <c r="F102" s="15"/>
      <c r="G102" s="15"/>
      <c r="H102" s="14" t="s">
        <v>226</v>
      </c>
      <c r="I102" s="66"/>
      <c r="J102" s="66"/>
      <c r="K102" s="16"/>
      <c r="L102" s="82"/>
      <c r="M102" s="83">
        <v>2903.10498046875</v>
      </c>
      <c r="N102" s="83">
        <v>9154.1767578125</v>
      </c>
      <c r="O102" s="77"/>
      <c r="P102" s="84"/>
      <c r="Q102" s="84"/>
      <c r="R102" s="51">
        <v>1</v>
      </c>
      <c r="S102" s="85"/>
      <c r="T102" s="85"/>
      <c r="U102" s="52">
        <v>0</v>
      </c>
      <c r="V102" s="52">
        <v>6.757E-3</v>
      </c>
      <c r="W102" s="52">
        <v>3.3949E-2</v>
      </c>
      <c r="X102" s="52">
        <v>0.50815399999999999</v>
      </c>
      <c r="Y102" s="52">
        <v>0</v>
      </c>
      <c r="Z102" s="52"/>
      <c r="AA102" s="79">
        <v>102</v>
      </c>
      <c r="AB102"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02" s="86"/>
      <c r="AD102" s="51"/>
      <c r="AE102" s="51"/>
      <c r="AF102" s="51"/>
      <c r="AG102" s="51"/>
      <c r="AH102" s="51"/>
      <c r="AI102" s="51"/>
      <c r="AJ102" s="51"/>
      <c r="AK102" s="51"/>
      <c r="AL102" s="51"/>
      <c r="AM102" s="51"/>
      <c r="AN102" s="2"/>
      <c r="AO102" s="3"/>
      <c r="AP102" s="3"/>
      <c r="AQ102" s="3"/>
      <c r="AR102" s="3"/>
    </row>
    <row r="103" spans="1:44" x14ac:dyDescent="0.45">
      <c r="A103" s="14" t="s">
        <v>227</v>
      </c>
      <c r="B103" s="15" t="s">
        <v>278</v>
      </c>
      <c r="C103" s="15"/>
      <c r="D103" s="81">
        <v>1.5</v>
      </c>
      <c r="E103" s="78"/>
      <c r="F103" s="15"/>
      <c r="G103" s="15"/>
      <c r="H103" s="14" t="s">
        <v>227</v>
      </c>
      <c r="I103" s="66"/>
      <c r="J103" s="66"/>
      <c r="K103" s="16"/>
      <c r="L103" s="82"/>
      <c r="M103" s="83">
        <v>1789.8980712890625</v>
      </c>
      <c r="N103" s="83">
        <v>6055.1357421875</v>
      </c>
      <c r="O103" s="77"/>
      <c r="P103" s="84"/>
      <c r="Q103" s="84"/>
      <c r="R103" s="51">
        <v>1</v>
      </c>
      <c r="S103" s="85"/>
      <c r="T103" s="85"/>
      <c r="U103" s="52">
        <v>0</v>
      </c>
      <c r="V103" s="52">
        <v>0.33333299999999999</v>
      </c>
      <c r="W103" s="52">
        <v>0</v>
      </c>
      <c r="X103" s="52">
        <v>0.63829199999999997</v>
      </c>
      <c r="Y103" s="52">
        <v>0</v>
      </c>
      <c r="Z103" s="52"/>
      <c r="AA103" s="79">
        <v>103</v>
      </c>
      <c r="AB103"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03" s="86"/>
      <c r="AD103" s="51"/>
      <c r="AE103" s="51"/>
      <c r="AF103" s="51"/>
      <c r="AG103" s="51"/>
      <c r="AH103" s="51"/>
      <c r="AI103" s="51"/>
      <c r="AJ103" s="51"/>
      <c r="AK103" s="51"/>
      <c r="AL103" s="51"/>
      <c r="AM103" s="51"/>
      <c r="AN103" s="2"/>
      <c r="AO103" s="3"/>
      <c r="AP103" s="3"/>
      <c r="AQ103" s="3"/>
      <c r="AR103" s="3"/>
    </row>
    <row r="104" spans="1:44" x14ac:dyDescent="0.45">
      <c r="A104" s="14" t="s">
        <v>228</v>
      </c>
      <c r="B104" s="15" t="s">
        <v>278</v>
      </c>
      <c r="C104" s="15"/>
      <c r="D104" s="81">
        <v>1.5</v>
      </c>
      <c r="E104" s="78"/>
      <c r="F104" s="15"/>
      <c r="G104" s="15"/>
      <c r="H104" s="14" t="s">
        <v>228</v>
      </c>
      <c r="I104" s="66"/>
      <c r="J104" s="66"/>
      <c r="K104" s="16"/>
      <c r="L104" s="82"/>
      <c r="M104" s="83">
        <v>2393.649658203125</v>
      </c>
      <c r="N104" s="83">
        <v>4774.4541015625</v>
      </c>
      <c r="O104" s="77"/>
      <c r="P104" s="84"/>
      <c r="Q104" s="84"/>
      <c r="R104" s="51">
        <v>1</v>
      </c>
      <c r="S104" s="85"/>
      <c r="T104" s="85"/>
      <c r="U104" s="52">
        <v>0</v>
      </c>
      <c r="V104" s="52">
        <v>6.757E-3</v>
      </c>
      <c r="W104" s="52">
        <v>3.3949E-2</v>
      </c>
      <c r="X104" s="52">
        <v>0.50815399999999999</v>
      </c>
      <c r="Y104" s="52">
        <v>0</v>
      </c>
      <c r="Z104" s="52"/>
      <c r="AA104" s="79">
        <v>104</v>
      </c>
      <c r="AB104"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04" s="86"/>
      <c r="AD104" s="51"/>
      <c r="AE104" s="51"/>
      <c r="AF104" s="51"/>
      <c r="AG104" s="51"/>
      <c r="AH104" s="51"/>
      <c r="AI104" s="51"/>
      <c r="AJ104" s="51"/>
      <c r="AK104" s="51"/>
      <c r="AL104" s="51"/>
      <c r="AM104" s="51"/>
      <c r="AN104" s="2"/>
      <c r="AO104" s="3"/>
      <c r="AP104" s="3"/>
      <c r="AQ104" s="3"/>
      <c r="AR104" s="3"/>
    </row>
    <row r="105" spans="1:44" x14ac:dyDescent="0.45">
      <c r="A105" s="14" t="s">
        <v>229</v>
      </c>
      <c r="B105" s="15" t="s">
        <v>278</v>
      </c>
      <c r="C105" s="15"/>
      <c r="D105" s="81">
        <v>1.5</v>
      </c>
      <c r="E105" s="78"/>
      <c r="F105" s="15"/>
      <c r="G105" s="15"/>
      <c r="H105" s="14" t="s">
        <v>229</v>
      </c>
      <c r="I105" s="66"/>
      <c r="J105" s="66"/>
      <c r="K105" s="16"/>
      <c r="L105" s="82"/>
      <c r="M105" s="83">
        <v>6773.6875</v>
      </c>
      <c r="N105" s="83">
        <v>7883.0498046875</v>
      </c>
      <c r="O105" s="77"/>
      <c r="P105" s="84"/>
      <c r="Q105" s="84"/>
      <c r="R105" s="51">
        <v>1</v>
      </c>
      <c r="S105" s="85"/>
      <c r="T105" s="85"/>
      <c r="U105" s="52">
        <v>0</v>
      </c>
      <c r="V105" s="52">
        <v>6.757E-3</v>
      </c>
      <c r="W105" s="52">
        <v>3.3949E-2</v>
      </c>
      <c r="X105" s="52">
        <v>0.50815399999999999</v>
      </c>
      <c r="Y105" s="52">
        <v>0</v>
      </c>
      <c r="Z105" s="52"/>
      <c r="AA105" s="79">
        <v>105</v>
      </c>
      <c r="AB105"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05" s="86"/>
      <c r="AD105" s="51"/>
      <c r="AE105" s="51"/>
      <c r="AF105" s="51"/>
      <c r="AG105" s="51"/>
      <c r="AH105" s="51"/>
      <c r="AI105" s="51"/>
      <c r="AJ105" s="51"/>
      <c r="AK105" s="51"/>
      <c r="AL105" s="51"/>
      <c r="AM105" s="51"/>
      <c r="AN105" s="2"/>
      <c r="AO105" s="3"/>
      <c r="AP105" s="3"/>
      <c r="AQ105" s="3"/>
      <c r="AR105" s="3"/>
    </row>
    <row r="106" spans="1:44" x14ac:dyDescent="0.45">
      <c r="A106" s="14" t="s">
        <v>230</v>
      </c>
      <c r="B106" s="15" t="s">
        <v>278</v>
      </c>
      <c r="C106" s="15"/>
      <c r="D106" s="81">
        <v>1.5</v>
      </c>
      <c r="E106" s="78"/>
      <c r="F106" s="15"/>
      <c r="G106" s="15"/>
      <c r="H106" s="14" t="s">
        <v>230</v>
      </c>
      <c r="I106" s="66"/>
      <c r="J106" s="66"/>
      <c r="K106" s="16"/>
      <c r="L106" s="82"/>
      <c r="M106" s="83">
        <v>698.2474365234375</v>
      </c>
      <c r="N106" s="83">
        <v>8106.66796875</v>
      </c>
      <c r="O106" s="77"/>
      <c r="P106" s="84"/>
      <c r="Q106" s="84"/>
      <c r="R106" s="51">
        <v>1</v>
      </c>
      <c r="S106" s="85"/>
      <c r="T106" s="85"/>
      <c r="U106" s="52">
        <v>0</v>
      </c>
      <c r="V106" s="52">
        <v>6.757E-3</v>
      </c>
      <c r="W106" s="52">
        <v>3.3949E-2</v>
      </c>
      <c r="X106" s="52">
        <v>0.50815399999999999</v>
      </c>
      <c r="Y106" s="52">
        <v>0</v>
      </c>
      <c r="Z106" s="52"/>
      <c r="AA106" s="79">
        <v>106</v>
      </c>
      <c r="AB106"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06" s="86"/>
      <c r="AD106" s="51"/>
      <c r="AE106" s="51"/>
      <c r="AF106" s="51"/>
      <c r="AG106" s="51"/>
      <c r="AH106" s="51"/>
      <c r="AI106" s="51"/>
      <c r="AJ106" s="51"/>
      <c r="AK106" s="51"/>
      <c r="AL106" s="51"/>
      <c r="AM106" s="51"/>
      <c r="AN106" s="2"/>
      <c r="AO106" s="3"/>
      <c r="AP106" s="3"/>
      <c r="AQ106" s="3"/>
      <c r="AR106" s="3"/>
    </row>
    <row r="107" spans="1:44" x14ac:dyDescent="0.45">
      <c r="A107" s="14" t="s">
        <v>231</v>
      </c>
      <c r="B107" s="15" t="s">
        <v>278</v>
      </c>
      <c r="C107" s="15"/>
      <c r="D107" s="81">
        <v>1.5</v>
      </c>
      <c r="E107" s="78"/>
      <c r="F107" s="15"/>
      <c r="G107" s="15"/>
      <c r="H107" s="14" t="s">
        <v>231</v>
      </c>
      <c r="I107" s="66"/>
      <c r="J107" s="66"/>
      <c r="K107" s="16"/>
      <c r="L107" s="82"/>
      <c r="M107" s="83">
        <v>1450.46533203125</v>
      </c>
      <c r="N107" s="83">
        <v>4019.75732421875</v>
      </c>
      <c r="O107" s="77"/>
      <c r="P107" s="84"/>
      <c r="Q107" s="84"/>
      <c r="R107" s="51">
        <v>1</v>
      </c>
      <c r="S107" s="85"/>
      <c r="T107" s="85"/>
      <c r="U107" s="52">
        <v>0</v>
      </c>
      <c r="V107" s="52">
        <v>6.3290000000000004E-3</v>
      </c>
      <c r="W107" s="52">
        <v>6.5550000000000001E-3</v>
      </c>
      <c r="X107" s="52">
        <v>0.49989400000000001</v>
      </c>
      <c r="Y107" s="52">
        <v>0</v>
      </c>
      <c r="Z107" s="52"/>
      <c r="AA107" s="79">
        <v>107</v>
      </c>
      <c r="AB107"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07" s="86"/>
      <c r="AD107" s="51"/>
      <c r="AE107" s="51"/>
      <c r="AF107" s="51"/>
      <c r="AG107" s="51"/>
      <c r="AH107" s="51"/>
      <c r="AI107" s="51"/>
      <c r="AJ107" s="51"/>
      <c r="AK107" s="51"/>
      <c r="AL107" s="51"/>
      <c r="AM107" s="51"/>
      <c r="AN107" s="2"/>
      <c r="AO107" s="3"/>
      <c r="AP107" s="3"/>
      <c r="AQ107" s="3"/>
      <c r="AR107" s="3"/>
    </row>
    <row r="108" spans="1:44" x14ac:dyDescent="0.45">
      <c r="A108" s="14" t="s">
        <v>187</v>
      </c>
      <c r="B108" s="15" t="s">
        <v>278</v>
      </c>
      <c r="C108" s="15"/>
      <c r="D108" s="81">
        <v>1.5</v>
      </c>
      <c r="E108" s="78"/>
      <c r="F108" s="15"/>
      <c r="G108" s="15"/>
      <c r="H108" s="14" t="s">
        <v>187</v>
      </c>
      <c r="I108" s="66"/>
      <c r="J108" s="66"/>
      <c r="K108" s="16"/>
      <c r="L108" s="82"/>
      <c r="M108" s="83">
        <v>5127.11181640625</v>
      </c>
      <c r="N108" s="83">
        <v>7952.6416015625</v>
      </c>
      <c r="O108" s="77"/>
      <c r="P108" s="84"/>
      <c r="Q108" s="84"/>
      <c r="R108" s="51">
        <v>1</v>
      </c>
      <c r="S108" s="85"/>
      <c r="T108" s="85"/>
      <c r="U108" s="52">
        <v>0</v>
      </c>
      <c r="V108" s="52">
        <v>1</v>
      </c>
      <c r="W108" s="52">
        <v>0</v>
      </c>
      <c r="X108" s="52">
        <v>0.99999000000000005</v>
      </c>
      <c r="Y108" s="52">
        <v>0</v>
      </c>
      <c r="Z108" s="52"/>
      <c r="AA108" s="79">
        <v>108</v>
      </c>
      <c r="AB108"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08" s="86"/>
      <c r="AD108" s="51"/>
      <c r="AE108" s="51"/>
      <c r="AF108" s="51"/>
      <c r="AG108" s="51"/>
      <c r="AH108" s="51"/>
      <c r="AI108" s="51"/>
      <c r="AJ108" s="104" t="s">
        <v>274</v>
      </c>
      <c r="AK108" s="104" t="s">
        <v>274</v>
      </c>
      <c r="AL108" s="104" t="s">
        <v>274</v>
      </c>
      <c r="AM108" s="104" t="s">
        <v>274</v>
      </c>
      <c r="AN108" s="2"/>
      <c r="AO108" s="3"/>
      <c r="AP108" s="3"/>
      <c r="AQ108" s="3"/>
      <c r="AR108" s="3"/>
    </row>
    <row r="109" spans="1:44" x14ac:dyDescent="0.45">
      <c r="A109" s="14" t="s">
        <v>232</v>
      </c>
      <c r="B109" s="15" t="s">
        <v>278</v>
      </c>
      <c r="C109" s="15"/>
      <c r="D109" s="81">
        <v>1.5</v>
      </c>
      <c r="E109" s="78"/>
      <c r="F109" s="15"/>
      <c r="G109" s="15"/>
      <c r="H109" s="14" t="s">
        <v>232</v>
      </c>
      <c r="I109" s="66"/>
      <c r="J109" s="66"/>
      <c r="K109" s="16"/>
      <c r="L109" s="82"/>
      <c r="M109" s="83">
        <v>837.50311279296875</v>
      </c>
      <c r="N109" s="83">
        <v>2168.617431640625</v>
      </c>
      <c r="O109" s="77"/>
      <c r="P109" s="84"/>
      <c r="Q109" s="84"/>
      <c r="R109" s="51">
        <v>1</v>
      </c>
      <c r="S109" s="85"/>
      <c r="T109" s="85"/>
      <c r="U109" s="52">
        <v>0</v>
      </c>
      <c r="V109" s="52">
        <v>1</v>
      </c>
      <c r="W109" s="52">
        <v>0</v>
      </c>
      <c r="X109" s="52">
        <v>0.99999000000000005</v>
      </c>
      <c r="Y109" s="52">
        <v>0</v>
      </c>
      <c r="Z109" s="52"/>
      <c r="AA109" s="79">
        <v>109</v>
      </c>
      <c r="AB109" s="79" t="b">
        <f xml:space="preserve"> IF(AND(OR(NOT(ISNUMBER(Vertices[[#This Row],[X]])), Vertices[[#This Row],[X]] &gt;= Misc!$O$2), OR(NOT(ISNUMBER(Vertices[[#This Row],[X]])), Vertices[[#This Row],[X]] &lt;= Misc!$P$2),OR(NOT(ISNUMBER(Vertices[[#This Row],[Y]])), Vertices[[#This Row],[Y]] &gt;= Misc!$O$3), OR(NOT(ISNUMBER(Vertices[[#This Row],[Y]])), Vertices[[#This Row],[Y]] &lt;= Misc!$P$3),TRUE), TRUE, FALSE)</f>
        <v>1</v>
      </c>
      <c r="AC109" s="86"/>
      <c r="AD109" s="51"/>
      <c r="AE109" s="51"/>
      <c r="AF109" s="51"/>
      <c r="AG109" s="51"/>
      <c r="AH109" s="51"/>
      <c r="AI109" s="51"/>
      <c r="AJ109" s="51"/>
      <c r="AK109" s="51"/>
      <c r="AL109" s="51"/>
      <c r="AM109" s="51"/>
      <c r="AN109" s="2"/>
      <c r="AO109" s="3"/>
      <c r="AP109" s="3"/>
      <c r="AQ109" s="3"/>
      <c r="AR109" s="3"/>
    </row>
  </sheetData>
  <dataConsolidate/>
  <phoneticPr fontId="11" type="noConversion"/>
  <dataValidations count="19">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AA109" xr:uid="{00000000-0002-0000-0100-000000000000}"/>
    <dataValidation allowBlank="1" errorTitle="Invalid Vertex Visibility" error="You have entered an unrecognized vertex visibility.  Try selecting from the drop-down list instead." sqref="AN3" xr:uid="{00000000-0002-0000-0100-000001000000}"/>
    <dataValidation allowBlank="1" showErrorMessage="1" sqref="AN2" xr:uid="{00000000-0002-0000-0100-000002000000}"/>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O109" xr:uid="{00000000-0002-0000-0100-000003000000}">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109" xr:uid="{00000000-0002-0000-0100-000004000000}"/>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L109" xr:uid="{00000000-0002-0000-0100-000005000000}"/>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P109" xr:uid="{00000000-0002-0000-0100-000006000000}"/>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Q109" xr:uid="{00000000-0002-0000-0100-000007000000}"/>
    <dataValidation allowBlank="1" showInputMessage="1" errorTitle="Invalid Vertex Image Key" promptTitle="Vertex Tooltip" prompt="Enter optional text that will pop up when the mouse is hovered over the vertex." sqref="K3:K109" xr:uid="{00000000-0002-0000-0100-000008000000}"/>
    <dataValidation allowBlank="1" errorTitle="Invalid Vertex Visibility" error="You have entered an unrecognized vertex visibility.  Try selecting from the drop-down list instead." promptTitle="Vertex ID" prompt="This is a unique ID that gets filled in automatically.  Do not edit this column." sqref="AB3:AB109" xr:uid="{00000000-0002-0000-0100-000009000000}"/>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G109" xr:uid="{00000000-0002-0000-0100-00000A000000}">
      <formula1>ValidVertexVisibilities</formula1>
    </dataValidation>
    <dataValidation allowBlank="1" showInputMessage="1" promptTitle="Vertex Label Fill Color" prompt="To select an optional fill color for the Label shape, right-click and select Select Color on the right-click menu." sqref="I3:I109" xr:uid="{00000000-0002-0000-0100-00000C000000}"/>
    <dataValidation allowBlank="1" showInputMessage="1" errorTitle="Invalid Vertex Image Key" promptTitle="Vertex Image File" prompt="Enter the path to an image file.  Hover over the column header for examples." sqref="F3:F109" xr:uid="{00000000-0002-0000-0100-00000D000000}"/>
    <dataValidation allowBlank="1" showInputMessage="1" promptTitle="Vertex Color" prompt="To select an optional vertex color, right-click and select Select Color on the right-click menu." sqref="B3:B109" xr:uid="{00000000-0002-0000-0100-00000E000000}"/>
    <dataValidation allowBlank="1" showInputMessage="1" errorTitle="Invalid Vertex Opacity" error="The optional vertex opacity must be a whole number between 0 and 10." promptTitle="Vertex Opacity" prompt="Enter an optional vertex opacity between 0 (transparent) and 100 (opaque)." sqref="E3:E109" xr:uid="{00000000-0002-0000-0100-00000F000000}"/>
    <dataValidation type="list" allowBlank="1" showInputMessage="1" showErrorMessage="1" errorTitle="Invalid Vertex Shape" error="You have entered an invalid vertex shape.  Try selecting from the drop-down list instead." promptTitle="Vertex Shape" prompt="Select an optional vertex shape." sqref="C3:C109" xr:uid="{00000000-0002-0000-0100-000010000000}">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D109" xr:uid="{00000000-0002-0000-0100-000011000000}"/>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J109" xr:uid="{00000000-0002-0000-0100-000012000000}">
      <formula1>ValidVertexLabelPositions</formula1>
    </dataValidation>
    <dataValidation allowBlank="1" showInputMessage="1" showErrorMessage="1" promptTitle="Vertex Name" prompt="Enter the name of the vertex." sqref="A3:A109 H3:H109" xr:uid="{00000000-0002-0000-0100-000013000000}"/>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21"/>
  <sheetViews>
    <sheetView workbookViewId="0"/>
  </sheetViews>
  <sheetFormatPr defaultRowHeight="14.25" x14ac:dyDescent="0.45"/>
  <cols>
    <col min="1" max="1" width="10.86328125" style="3" bestFit="1" customWidth="1"/>
    <col min="2" max="2" width="16.86328125" style="3" bestFit="1" customWidth="1"/>
    <col min="4" max="5" width="9.1328125" customWidth="1"/>
  </cols>
  <sheetData>
    <row r="1" spans="1:1" x14ac:dyDescent="0.45">
      <c r="A1" s="3" t="s">
        <v>50</v>
      </c>
    </row>
    <row r="2" spans="1:1" ht="15" customHeight="1" x14ac:dyDescent="0.45"/>
    <row r="3" spans="1:1" ht="15" customHeight="1" x14ac:dyDescent="0.45">
      <c r="A3" s="32" t="s">
        <v>51</v>
      </c>
    </row>
    <row r="21" spans="4:4" x14ac:dyDescent="0.45">
      <c r="D21" s="7"/>
    </row>
  </sheetData>
  <dataConsolidate/>
  <dataValidations xWindow="63" yWindow="236" count="2">
    <dataValidation allowBlank="1" showInputMessage="1" showErrorMessage="1" promptTitle="Image ID" prompt="Enter a unique ID for the image." sqref="A2" xr:uid="{00000000-0002-0000-0200-000000000000}"/>
    <dataValidation allowBlank="1" showInputMessage="1" showErrorMessage="1" promptTitle="Image File Path" prompt="Enter an image file path.  Hover over the column header for examples." sqref="B2" xr:uid="{00000000-0002-0000-0200-000001000000}"/>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F11"/>
  <sheetViews>
    <sheetView workbookViewId="0">
      <pane ySplit="2" topLeftCell="A3" activePane="bottomLeft" state="frozen"/>
      <selection pane="bottomLeft" activeCell="D21" sqref="D21"/>
    </sheetView>
  </sheetViews>
  <sheetFormatPr defaultRowHeight="14.25" x14ac:dyDescent="0.45"/>
  <cols>
    <col min="1" max="1" width="9.3984375" style="1" bestFit="1" customWidth="1"/>
    <col min="2" max="2" width="14.265625" bestFit="1" customWidth="1"/>
    <col min="3" max="3" width="15" bestFit="1" customWidth="1"/>
    <col min="4" max="4" width="11.1328125" bestFit="1" customWidth="1"/>
    <col min="5" max="5" width="13" bestFit="1" customWidth="1"/>
    <col min="6" max="6" width="8" bestFit="1" customWidth="1"/>
    <col min="7" max="8" width="13.59765625" hidden="1" customWidth="1"/>
    <col min="9" max="9" width="11" hidden="1" customWidth="1"/>
    <col min="10" max="10" width="12.59765625" hidden="1" customWidth="1"/>
    <col min="11" max="11" width="11" customWidth="1"/>
    <col min="12" max="12" width="9.73046875" customWidth="1"/>
    <col min="13" max="13" width="13.1328125" customWidth="1"/>
    <col min="14" max="15" width="8.3984375" customWidth="1"/>
    <col min="16" max="16" width="18.265625" customWidth="1"/>
    <col min="17" max="17" width="14.86328125" customWidth="1"/>
    <col min="18" max="18" width="14.59765625" customWidth="1"/>
    <col min="19" max="21" width="24.1328125" customWidth="1"/>
    <col min="22" max="22" width="21.265625" customWidth="1"/>
    <col min="23" max="23" width="19.265625" customWidth="1"/>
    <col min="24" max="24" width="10" customWidth="1"/>
    <col min="25" max="25" width="12.1328125" bestFit="1" customWidth="1"/>
    <col min="26" max="26" width="13.19921875" bestFit="1" customWidth="1"/>
    <col min="27" max="27" width="13.46484375" bestFit="1" customWidth="1"/>
    <col min="28" max="28" width="11.46484375" bestFit="1" customWidth="1"/>
    <col min="29" max="29" width="14" bestFit="1" customWidth="1"/>
    <col min="30" max="30" width="12.19921875" bestFit="1" customWidth="1"/>
    <col min="31" max="31" width="15.06640625" bestFit="1" customWidth="1"/>
    <col min="32" max="32" width="10.1328125" bestFit="1" customWidth="1"/>
  </cols>
  <sheetData>
    <row r="1" spans="1:32" x14ac:dyDescent="0.45">
      <c r="B1" s="68" t="s">
        <v>40</v>
      </c>
      <c r="C1" s="69"/>
      <c r="D1" s="69"/>
      <c r="E1" s="70"/>
      <c r="F1" s="66" t="s">
        <v>44</v>
      </c>
      <c r="G1" s="71" t="s">
        <v>45</v>
      </c>
      <c r="H1" s="72"/>
      <c r="I1" s="73" t="s">
        <v>41</v>
      </c>
      <c r="J1" s="74"/>
      <c r="K1" s="75" t="s">
        <v>43</v>
      </c>
      <c r="L1" s="76"/>
      <c r="M1" s="76"/>
      <c r="N1" s="76"/>
      <c r="O1" s="76"/>
      <c r="P1" s="76"/>
      <c r="Q1" s="76"/>
      <c r="R1" s="76"/>
      <c r="S1" s="76"/>
      <c r="T1" s="76"/>
      <c r="U1" s="76"/>
      <c r="V1" s="76"/>
      <c r="W1" s="76"/>
      <c r="X1" s="76"/>
    </row>
    <row r="2" spans="1:32" s="13" customFormat="1" ht="30" customHeight="1" x14ac:dyDescent="0.45">
      <c r="A2" s="11" t="s">
        <v>144</v>
      </c>
      <c r="B2" s="13" t="s">
        <v>21</v>
      </c>
      <c r="C2" s="13" t="s">
        <v>20</v>
      </c>
      <c r="D2" s="13" t="s">
        <v>11</v>
      </c>
      <c r="E2" s="13" t="s">
        <v>145</v>
      </c>
      <c r="F2" s="13" t="s">
        <v>47</v>
      </c>
      <c r="G2" s="13" t="s">
        <v>167</v>
      </c>
      <c r="H2" s="13" t="s">
        <v>168</v>
      </c>
      <c r="I2" s="13" t="s">
        <v>12</v>
      </c>
      <c r="J2" s="13" t="s">
        <v>166</v>
      </c>
      <c r="K2" s="13" t="s">
        <v>146</v>
      </c>
      <c r="L2" s="13" t="s">
        <v>148</v>
      </c>
      <c r="M2" s="13" t="s">
        <v>149</v>
      </c>
      <c r="N2" s="13" t="s">
        <v>150</v>
      </c>
      <c r="O2" s="13" t="s">
        <v>151</v>
      </c>
      <c r="P2" s="13" t="s">
        <v>170</v>
      </c>
      <c r="Q2" s="13" t="s">
        <v>171</v>
      </c>
      <c r="R2" s="13" t="s">
        <v>152</v>
      </c>
      <c r="S2" s="13" t="s">
        <v>153</v>
      </c>
      <c r="T2" s="13" t="s">
        <v>154</v>
      </c>
      <c r="U2" s="13" t="s">
        <v>155</v>
      </c>
      <c r="V2" s="13" t="s">
        <v>156</v>
      </c>
      <c r="W2" s="13" t="s">
        <v>157</v>
      </c>
      <c r="X2" s="13" t="s">
        <v>158</v>
      </c>
      <c r="Y2" s="13" t="s">
        <v>247</v>
      </c>
      <c r="Z2" s="13" t="s">
        <v>249</v>
      </c>
      <c r="AA2" s="13" t="s">
        <v>251</v>
      </c>
      <c r="AB2" s="13" t="s">
        <v>258</v>
      </c>
      <c r="AC2" s="13" t="s">
        <v>260</v>
      </c>
      <c r="AD2" s="13" t="s">
        <v>263</v>
      </c>
      <c r="AE2" s="13" t="s">
        <v>264</v>
      </c>
      <c r="AF2" s="13" t="s">
        <v>266</v>
      </c>
    </row>
    <row r="3" spans="1:32" x14ac:dyDescent="0.45">
      <c r="A3" s="115" t="s">
        <v>288</v>
      </c>
      <c r="B3" s="116" t="s">
        <v>297</v>
      </c>
      <c r="C3" s="116" t="s">
        <v>57</v>
      </c>
      <c r="D3" s="105"/>
      <c r="E3" s="105"/>
      <c r="F3" s="106"/>
      <c r="G3" s="107"/>
      <c r="H3" s="107"/>
      <c r="I3" s="108">
        <v>3</v>
      </c>
      <c r="J3" s="109"/>
      <c r="K3" s="110"/>
      <c r="L3" s="110"/>
      <c r="M3" s="110"/>
      <c r="N3" s="110"/>
      <c r="O3" s="110"/>
      <c r="P3" s="110"/>
      <c r="Q3" s="110"/>
      <c r="R3" s="110"/>
      <c r="S3" s="110"/>
      <c r="T3" s="110"/>
      <c r="U3" s="110"/>
      <c r="V3" s="110"/>
      <c r="W3" s="111"/>
      <c r="X3" s="111"/>
      <c r="Y3" s="112"/>
      <c r="Z3" s="112"/>
      <c r="AA3" s="112"/>
      <c r="AB3" s="112"/>
      <c r="AC3" s="112"/>
      <c r="AD3" s="112"/>
      <c r="AE3" s="112"/>
      <c r="AF3" s="112"/>
    </row>
    <row r="4" spans="1:32" x14ac:dyDescent="0.45">
      <c r="A4" s="115" t="s">
        <v>289</v>
      </c>
      <c r="B4" s="116" t="s">
        <v>298</v>
      </c>
      <c r="C4" s="116" t="s">
        <v>57</v>
      </c>
      <c r="D4" s="87"/>
      <c r="E4" s="87"/>
      <c r="F4" s="90"/>
      <c r="G4" s="94"/>
      <c r="H4" s="94"/>
      <c r="I4" s="98">
        <v>4</v>
      </c>
      <c r="J4" s="98"/>
      <c r="K4" s="113"/>
      <c r="L4" s="113"/>
      <c r="M4" s="113"/>
      <c r="N4" s="113"/>
      <c r="O4" s="113"/>
      <c r="P4" s="113"/>
      <c r="Q4" s="113"/>
      <c r="R4" s="113"/>
      <c r="S4" s="113"/>
      <c r="T4" s="113"/>
      <c r="U4" s="113"/>
      <c r="V4" s="113"/>
      <c r="W4" s="114"/>
      <c r="X4" s="114"/>
      <c r="Y4" s="112"/>
      <c r="Z4" s="112"/>
      <c r="AA4" s="112"/>
      <c r="AB4" s="112"/>
      <c r="AC4" s="112"/>
      <c r="AD4" s="112"/>
      <c r="AE4" s="112"/>
      <c r="AF4" s="112"/>
    </row>
    <row r="5" spans="1:32" x14ac:dyDescent="0.45">
      <c r="A5" s="115" t="s">
        <v>290</v>
      </c>
      <c r="B5" s="116" t="s">
        <v>299</v>
      </c>
      <c r="C5" s="116" t="s">
        <v>57</v>
      </c>
      <c r="D5" s="87"/>
      <c r="E5" s="87"/>
      <c r="F5" s="90"/>
      <c r="G5" s="94"/>
      <c r="H5" s="94"/>
      <c r="I5" s="98">
        <v>5</v>
      </c>
      <c r="J5" s="98"/>
      <c r="K5" s="113"/>
      <c r="L5" s="113"/>
      <c r="M5" s="113"/>
      <c r="N5" s="113"/>
      <c r="O5" s="113"/>
      <c r="P5" s="113"/>
      <c r="Q5" s="113"/>
      <c r="R5" s="113"/>
      <c r="S5" s="113"/>
      <c r="T5" s="113"/>
      <c r="U5" s="113"/>
      <c r="V5" s="113"/>
      <c r="W5" s="114"/>
      <c r="X5" s="114"/>
      <c r="Y5" s="112"/>
      <c r="Z5" s="112"/>
      <c r="AA5" s="112"/>
      <c r="AB5" s="112"/>
      <c r="AC5" s="112"/>
      <c r="AD5" s="112"/>
      <c r="AE5" s="112"/>
      <c r="AF5" s="112"/>
    </row>
    <row r="6" spans="1:32" x14ac:dyDescent="0.45">
      <c r="A6" s="115" t="s">
        <v>291</v>
      </c>
      <c r="B6" s="116" t="s">
        <v>300</v>
      </c>
      <c r="C6" s="116" t="s">
        <v>57</v>
      </c>
      <c r="D6" s="87"/>
      <c r="E6" s="87"/>
      <c r="F6" s="90"/>
      <c r="G6" s="94"/>
      <c r="H6" s="94"/>
      <c r="I6" s="98">
        <v>6</v>
      </c>
      <c r="J6" s="98"/>
      <c r="K6" s="113"/>
      <c r="L6" s="113"/>
      <c r="M6" s="113"/>
      <c r="N6" s="113"/>
      <c r="O6" s="113"/>
      <c r="P6" s="113"/>
      <c r="Q6" s="113"/>
      <c r="R6" s="113"/>
      <c r="S6" s="113"/>
      <c r="T6" s="113"/>
      <c r="U6" s="113"/>
      <c r="V6" s="113"/>
      <c r="W6" s="114"/>
      <c r="X6" s="114"/>
      <c r="Y6" s="112"/>
      <c r="Z6" s="112"/>
      <c r="AA6" s="112"/>
      <c r="AB6" s="112"/>
      <c r="AC6" s="112"/>
      <c r="AD6" s="112"/>
      <c r="AE6" s="112"/>
      <c r="AF6" s="112"/>
    </row>
    <row r="7" spans="1:32" x14ac:dyDescent="0.45">
      <c r="A7" s="115" t="s">
        <v>292</v>
      </c>
      <c r="B7" s="116" t="s">
        <v>301</v>
      </c>
      <c r="C7" s="116" t="s">
        <v>57</v>
      </c>
      <c r="D7" s="87"/>
      <c r="E7" s="87"/>
      <c r="F7" s="90"/>
      <c r="G7" s="94"/>
      <c r="H7" s="94"/>
      <c r="I7" s="98">
        <v>7</v>
      </c>
      <c r="J7" s="98"/>
      <c r="K7" s="113"/>
      <c r="L7" s="113"/>
      <c r="M7" s="113"/>
      <c r="N7" s="113"/>
      <c r="O7" s="113"/>
      <c r="P7" s="113"/>
      <c r="Q7" s="113"/>
      <c r="R7" s="113"/>
      <c r="S7" s="113"/>
      <c r="T7" s="113"/>
      <c r="U7" s="113"/>
      <c r="V7" s="113"/>
      <c r="W7" s="114"/>
      <c r="X7" s="114"/>
      <c r="Y7" s="112"/>
      <c r="Z7" s="112"/>
      <c r="AA7" s="112"/>
      <c r="AB7" s="112"/>
      <c r="AC7" s="112"/>
      <c r="AD7" s="112"/>
      <c r="AE7" s="112"/>
      <c r="AF7" s="112"/>
    </row>
    <row r="8" spans="1:32" x14ac:dyDescent="0.45">
      <c r="A8" s="115" t="s">
        <v>293</v>
      </c>
      <c r="B8" s="116" t="s">
        <v>302</v>
      </c>
      <c r="C8" s="116" t="s">
        <v>57</v>
      </c>
      <c r="D8" s="87"/>
      <c r="E8" s="87"/>
      <c r="F8" s="90"/>
      <c r="G8" s="94"/>
      <c r="H8" s="94"/>
      <c r="I8" s="98">
        <v>8</v>
      </c>
      <c r="J8" s="98"/>
      <c r="K8" s="113"/>
      <c r="L8" s="113"/>
      <c r="M8" s="113"/>
      <c r="N8" s="113"/>
      <c r="O8" s="113"/>
      <c r="P8" s="113"/>
      <c r="Q8" s="113"/>
      <c r="R8" s="113"/>
      <c r="S8" s="113"/>
      <c r="T8" s="113"/>
      <c r="U8" s="113"/>
      <c r="V8" s="113"/>
      <c r="W8" s="114"/>
      <c r="X8" s="114"/>
      <c r="Y8" s="112"/>
      <c r="Z8" s="112"/>
      <c r="AA8" s="112"/>
      <c r="AB8" s="112"/>
      <c r="AC8" s="112"/>
      <c r="AD8" s="112"/>
      <c r="AE8" s="112"/>
      <c r="AF8" s="112"/>
    </row>
    <row r="9" spans="1:32" x14ac:dyDescent="0.45">
      <c r="A9" s="115" t="s">
        <v>294</v>
      </c>
      <c r="B9" s="116" t="s">
        <v>303</v>
      </c>
      <c r="C9" s="116" t="s">
        <v>57</v>
      </c>
      <c r="D9" s="87"/>
      <c r="E9" s="87"/>
      <c r="F9" s="90"/>
      <c r="G9" s="94"/>
      <c r="H9" s="94"/>
      <c r="I9" s="98">
        <v>9</v>
      </c>
      <c r="J9" s="98"/>
      <c r="K9" s="113"/>
      <c r="L9" s="113"/>
      <c r="M9" s="113"/>
      <c r="N9" s="113"/>
      <c r="O9" s="113"/>
      <c r="P9" s="113"/>
      <c r="Q9" s="113"/>
      <c r="R9" s="113"/>
      <c r="S9" s="113"/>
      <c r="T9" s="113"/>
      <c r="U9" s="113"/>
      <c r="V9" s="113"/>
      <c r="W9" s="114"/>
      <c r="X9" s="114"/>
      <c r="Y9" s="112"/>
      <c r="Z9" s="112"/>
      <c r="AA9" s="112"/>
      <c r="AB9" s="112"/>
      <c r="AC9" s="112"/>
      <c r="AD9" s="112"/>
      <c r="AE9" s="112"/>
      <c r="AF9" s="112"/>
    </row>
    <row r="10" spans="1:32" ht="14.25" customHeight="1" x14ac:dyDescent="0.45">
      <c r="A10" s="115" t="s">
        <v>295</v>
      </c>
      <c r="B10" s="116" t="s">
        <v>304</v>
      </c>
      <c r="C10" s="116" t="s">
        <v>57</v>
      </c>
      <c r="D10" s="87"/>
      <c r="E10" s="87"/>
      <c r="F10" s="90"/>
      <c r="G10" s="94"/>
      <c r="H10" s="94"/>
      <c r="I10" s="98">
        <v>10</v>
      </c>
      <c r="J10" s="98"/>
      <c r="K10" s="113"/>
      <c r="L10" s="113"/>
      <c r="M10" s="113"/>
      <c r="N10" s="113"/>
      <c r="O10" s="113"/>
      <c r="P10" s="113"/>
      <c r="Q10" s="113"/>
      <c r="R10" s="113"/>
      <c r="S10" s="113"/>
      <c r="T10" s="113"/>
      <c r="U10" s="113"/>
      <c r="V10" s="113"/>
      <c r="W10" s="114"/>
      <c r="X10" s="114"/>
      <c r="Y10" s="112"/>
      <c r="Z10" s="112"/>
      <c r="AA10" s="112"/>
      <c r="AB10" s="112"/>
      <c r="AC10" s="112"/>
      <c r="AD10" s="112"/>
      <c r="AE10" s="112"/>
      <c r="AF10" s="112"/>
    </row>
    <row r="11" spans="1:32" x14ac:dyDescent="0.45">
      <c r="A11" s="115" t="s">
        <v>296</v>
      </c>
      <c r="B11" s="116" t="s">
        <v>305</v>
      </c>
      <c r="C11" s="116" t="s">
        <v>57</v>
      </c>
      <c r="D11" s="87"/>
      <c r="E11" s="87"/>
      <c r="F11" s="90"/>
      <c r="G11" s="94"/>
      <c r="H11" s="94"/>
      <c r="I11" s="98">
        <v>11</v>
      </c>
      <c r="J11" s="98"/>
      <c r="K11" s="113"/>
      <c r="L11" s="113"/>
      <c r="M11" s="113"/>
      <c r="N11" s="113"/>
      <c r="O11" s="113"/>
      <c r="P11" s="113"/>
      <c r="Q11" s="113"/>
      <c r="R11" s="113"/>
      <c r="S11" s="113"/>
      <c r="T11" s="113"/>
      <c r="U11" s="113"/>
      <c r="V11" s="113"/>
      <c r="W11" s="114"/>
      <c r="X11" s="114"/>
      <c r="Y11" s="112"/>
      <c r="Z11" s="112"/>
      <c r="AA11" s="112"/>
      <c r="AB11" s="112"/>
      <c r="AC11" s="112"/>
      <c r="AD11" s="112"/>
      <c r="AE11" s="112"/>
      <c r="AF11" s="112"/>
    </row>
  </sheetData>
  <dataConsolidate/>
  <dataValidations count="8">
    <dataValidation allowBlank="1" showInputMessage="1" promptTitle="Group Vertex Color" prompt="To select a color to use for all vertices in the group, right-click and select Select Color on the right-click menu." sqref="B3:B11" xr:uid="{00000000-0002-0000-0300-000000000000}"/>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C11" xr:uid="{00000000-0002-0000-0300-000001000000}">
      <formula1>ValidGroupShapes</formula1>
    </dataValidation>
    <dataValidation allowBlank="1" showInputMessage="1" showErrorMessage="1" promptTitle="Group Name" prompt="Enter the name of the group." sqref="A3:A11" xr:uid="{00000000-0002-0000-0300-000002000000}"/>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E11" xr:uid="{00000000-0002-0000-0300-000003000000}">
      <formula1>ValidBooleansDefaultFalse</formula1>
    </dataValidation>
    <dataValidation allowBlank="1" sqref="K3:K11" xr:uid="{00000000-0002-0000-0300-000004000000}"/>
    <dataValidation allowBlank="1" showInputMessage="1" showErrorMessage="1" errorTitle="Invalid Group Collapsed" error="You have entered an unrecognized &quot;group collapsed.&quot;  Try selecting from the drop-down list instead." promptTitle="Group Label" prompt="Enter an optional group label." sqref="F3:F11" xr:uid="{00000000-0002-0000-0300-000005000000}"/>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11" xr:uid="{00000000-0002-0000-0300-000006000000}"/>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D11" xr:uid="{00000000-0002-0000-0300-000007000000}">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58"/>
  <sheetViews>
    <sheetView workbookViewId="0">
      <selection activeCell="A2" sqref="A2"/>
    </sheetView>
  </sheetViews>
  <sheetFormatPr defaultRowHeight="14.25" x14ac:dyDescent="0.45"/>
  <cols>
    <col min="1" max="1" width="9.3984375" style="1" bestFit="1" customWidth="1"/>
    <col min="2" max="2" width="9.1328125" style="1"/>
    <col min="3" max="3" width="11.59765625" bestFit="1" customWidth="1"/>
    <col min="4" max="4" width="9.1328125" customWidth="1"/>
  </cols>
  <sheetData>
    <row r="1" spans="1:3" ht="14.55" customHeight="1" x14ac:dyDescent="0.45">
      <c r="A1" s="11" t="s">
        <v>144</v>
      </c>
      <c r="B1" s="11" t="s">
        <v>5</v>
      </c>
      <c r="C1" s="11" t="s">
        <v>147</v>
      </c>
    </row>
    <row r="2" spans="1:3" x14ac:dyDescent="0.45">
      <c r="A2" s="100" t="s">
        <v>288</v>
      </c>
      <c r="B2" s="102" t="s">
        <v>176</v>
      </c>
      <c r="C2" s="100">
        <f>VLOOKUP(GroupVertices[[#This Row],[Vertex]], Vertices[], MATCH("ID", Vertices[#Headers], 0), FALSE)</f>
        <v>3</v>
      </c>
    </row>
    <row r="3" spans="1:3" x14ac:dyDescent="0.45">
      <c r="A3" s="100" t="s">
        <v>288</v>
      </c>
      <c r="B3" s="102" t="s">
        <v>230</v>
      </c>
      <c r="C3" s="100">
        <f>VLOOKUP(GroupVertices[[#This Row],[Vertex]], Vertices[], MATCH("ID", Vertices[#Headers], 0), FALSE)</f>
        <v>106</v>
      </c>
    </row>
    <row r="4" spans="1:3" x14ac:dyDescent="0.45">
      <c r="A4" s="100" t="s">
        <v>288</v>
      </c>
      <c r="B4" s="102" t="s">
        <v>229</v>
      </c>
      <c r="C4" s="100">
        <f>VLOOKUP(GroupVertices[[#This Row],[Vertex]], Vertices[], MATCH("ID", Vertices[#Headers], 0), FALSE)</f>
        <v>105</v>
      </c>
    </row>
    <row r="5" spans="1:3" x14ac:dyDescent="0.45">
      <c r="A5" s="100" t="s">
        <v>288</v>
      </c>
      <c r="B5" s="102" t="s">
        <v>228</v>
      </c>
      <c r="C5" s="100">
        <f>VLOOKUP(GroupVertices[[#This Row],[Vertex]], Vertices[], MATCH("ID", Vertices[#Headers], 0), FALSE)</f>
        <v>104</v>
      </c>
    </row>
    <row r="6" spans="1:3" x14ac:dyDescent="0.45">
      <c r="A6" s="100" t="s">
        <v>288</v>
      </c>
      <c r="B6" s="102" t="s">
        <v>226</v>
      </c>
      <c r="C6" s="100">
        <f>VLOOKUP(GroupVertices[[#This Row],[Vertex]], Vertices[], MATCH("ID", Vertices[#Headers], 0), FALSE)</f>
        <v>102</v>
      </c>
    </row>
    <row r="7" spans="1:3" x14ac:dyDescent="0.45">
      <c r="A7" s="100" t="s">
        <v>288</v>
      </c>
      <c r="B7" s="102" t="s">
        <v>224</v>
      </c>
      <c r="C7" s="100">
        <f>VLOOKUP(GroupVertices[[#This Row],[Vertex]], Vertices[], MATCH("ID", Vertices[#Headers], 0), FALSE)</f>
        <v>99</v>
      </c>
    </row>
    <row r="8" spans="1:3" x14ac:dyDescent="0.45">
      <c r="A8" s="100" t="s">
        <v>288</v>
      </c>
      <c r="B8" s="102" t="s">
        <v>221</v>
      </c>
      <c r="C8" s="100">
        <f>VLOOKUP(GroupVertices[[#This Row],[Vertex]], Vertices[], MATCH("ID", Vertices[#Headers], 0), FALSE)</f>
        <v>96</v>
      </c>
    </row>
    <row r="9" spans="1:3" x14ac:dyDescent="0.45">
      <c r="A9" s="100" t="s">
        <v>288</v>
      </c>
      <c r="B9" s="102" t="s">
        <v>218</v>
      </c>
      <c r="C9" s="100">
        <f>VLOOKUP(GroupVertices[[#This Row],[Vertex]], Vertices[], MATCH("ID", Vertices[#Headers], 0), FALSE)</f>
        <v>93</v>
      </c>
    </row>
    <row r="10" spans="1:3" x14ac:dyDescent="0.45">
      <c r="A10" s="100" t="s">
        <v>288</v>
      </c>
      <c r="B10" s="102" t="s">
        <v>213</v>
      </c>
      <c r="C10" s="100">
        <f>VLOOKUP(GroupVertices[[#This Row],[Vertex]], Vertices[], MATCH("ID", Vertices[#Headers], 0), FALSE)</f>
        <v>86</v>
      </c>
    </row>
    <row r="11" spans="1:3" x14ac:dyDescent="0.45">
      <c r="A11" s="100" t="s">
        <v>288</v>
      </c>
      <c r="B11" s="102" t="s">
        <v>212</v>
      </c>
      <c r="C11" s="100">
        <f>VLOOKUP(GroupVertices[[#This Row],[Vertex]], Vertices[], MATCH("ID", Vertices[#Headers], 0), FALSE)</f>
        <v>85</v>
      </c>
    </row>
    <row r="12" spans="1:3" x14ac:dyDescent="0.45">
      <c r="A12" s="100" t="s">
        <v>288</v>
      </c>
      <c r="B12" s="102" t="s">
        <v>208</v>
      </c>
      <c r="C12" s="100">
        <f>VLOOKUP(GroupVertices[[#This Row],[Vertex]], Vertices[], MATCH("ID", Vertices[#Headers], 0), FALSE)</f>
        <v>80</v>
      </c>
    </row>
    <row r="13" spans="1:3" x14ac:dyDescent="0.45">
      <c r="A13" s="100" t="s">
        <v>288</v>
      </c>
      <c r="B13" s="102" t="s">
        <v>206</v>
      </c>
      <c r="C13" s="100">
        <f>VLOOKUP(GroupVertices[[#This Row],[Vertex]], Vertices[], MATCH("ID", Vertices[#Headers], 0), FALSE)</f>
        <v>78</v>
      </c>
    </row>
    <row r="14" spans="1:3" x14ac:dyDescent="0.45">
      <c r="A14" s="100" t="s">
        <v>288</v>
      </c>
      <c r="B14" s="102" t="s">
        <v>205</v>
      </c>
      <c r="C14" s="100">
        <f>VLOOKUP(GroupVertices[[#This Row],[Vertex]], Vertices[], MATCH("ID", Vertices[#Headers], 0), FALSE)</f>
        <v>77</v>
      </c>
    </row>
    <row r="15" spans="1:3" x14ac:dyDescent="0.45">
      <c r="A15" s="100" t="s">
        <v>288</v>
      </c>
      <c r="B15" s="102" t="s">
        <v>203</v>
      </c>
      <c r="C15" s="100">
        <f>VLOOKUP(GroupVertices[[#This Row],[Vertex]], Vertices[], MATCH("ID", Vertices[#Headers], 0), FALSE)</f>
        <v>75</v>
      </c>
    </row>
    <row r="16" spans="1:3" x14ac:dyDescent="0.45">
      <c r="A16" s="100" t="s">
        <v>288</v>
      </c>
      <c r="B16" s="102" t="s">
        <v>202</v>
      </c>
      <c r="C16" s="100">
        <f>VLOOKUP(GroupVertices[[#This Row],[Vertex]], Vertices[], MATCH("ID", Vertices[#Headers], 0), FALSE)</f>
        <v>74</v>
      </c>
    </row>
    <row r="17" spans="1:3" x14ac:dyDescent="0.45">
      <c r="A17" s="100" t="s">
        <v>288</v>
      </c>
      <c r="B17" s="102" t="s">
        <v>199</v>
      </c>
      <c r="C17" s="100">
        <f>VLOOKUP(GroupVertices[[#This Row],[Vertex]], Vertices[], MATCH("ID", Vertices[#Headers], 0), FALSE)</f>
        <v>69</v>
      </c>
    </row>
    <row r="18" spans="1:3" x14ac:dyDescent="0.45">
      <c r="A18" s="100" t="s">
        <v>288</v>
      </c>
      <c r="B18" s="102" t="s">
        <v>198</v>
      </c>
      <c r="C18" s="100">
        <f>VLOOKUP(GroupVertices[[#This Row],[Vertex]], Vertices[], MATCH("ID", Vertices[#Headers], 0), FALSE)</f>
        <v>68</v>
      </c>
    </row>
    <row r="19" spans="1:3" x14ac:dyDescent="0.45">
      <c r="A19" s="100" t="s">
        <v>288</v>
      </c>
      <c r="B19" s="102" t="s">
        <v>196</v>
      </c>
      <c r="C19" s="100">
        <f>VLOOKUP(GroupVertices[[#This Row],[Vertex]], Vertices[], MATCH("ID", Vertices[#Headers], 0), FALSE)</f>
        <v>66</v>
      </c>
    </row>
    <row r="20" spans="1:3" x14ac:dyDescent="0.45">
      <c r="A20" s="100" t="s">
        <v>288</v>
      </c>
      <c r="B20" s="102" t="s">
        <v>190</v>
      </c>
      <c r="C20" s="100">
        <f>VLOOKUP(GroupVertices[[#This Row],[Vertex]], Vertices[], MATCH("ID", Vertices[#Headers], 0), FALSE)</f>
        <v>8</v>
      </c>
    </row>
    <row r="21" spans="1:3" x14ac:dyDescent="0.45">
      <c r="A21" s="100" t="s">
        <v>289</v>
      </c>
      <c r="B21" s="102" t="s">
        <v>180</v>
      </c>
      <c r="C21" s="100">
        <f>VLOOKUP(GroupVertices[[#This Row],[Vertex]], Vertices[], MATCH("ID", Vertices[#Headers], 0), FALSE)</f>
        <v>63</v>
      </c>
    </row>
    <row r="22" spans="1:3" x14ac:dyDescent="0.45">
      <c r="A22" s="100" t="s">
        <v>289</v>
      </c>
      <c r="B22" s="102" t="s">
        <v>231</v>
      </c>
      <c r="C22" s="100">
        <f>VLOOKUP(GroupVertices[[#This Row],[Vertex]], Vertices[], MATCH("ID", Vertices[#Headers], 0), FALSE)</f>
        <v>107</v>
      </c>
    </row>
    <row r="23" spans="1:3" x14ac:dyDescent="0.45">
      <c r="A23" s="100" t="s">
        <v>289</v>
      </c>
      <c r="B23" s="102" t="s">
        <v>223</v>
      </c>
      <c r="C23" s="100">
        <f>VLOOKUP(GroupVertices[[#This Row],[Vertex]], Vertices[], MATCH("ID", Vertices[#Headers], 0), FALSE)</f>
        <v>98</v>
      </c>
    </row>
    <row r="24" spans="1:3" x14ac:dyDescent="0.45">
      <c r="A24" s="100" t="s">
        <v>289</v>
      </c>
      <c r="B24" s="102" t="s">
        <v>222</v>
      </c>
      <c r="C24" s="100">
        <f>VLOOKUP(GroupVertices[[#This Row],[Vertex]], Vertices[], MATCH("ID", Vertices[#Headers], 0), FALSE)</f>
        <v>97</v>
      </c>
    </row>
    <row r="25" spans="1:3" x14ac:dyDescent="0.45">
      <c r="A25" s="100" t="s">
        <v>289</v>
      </c>
      <c r="B25" s="102" t="s">
        <v>215</v>
      </c>
      <c r="C25" s="100">
        <f>VLOOKUP(GroupVertices[[#This Row],[Vertex]], Vertices[], MATCH("ID", Vertices[#Headers], 0), FALSE)</f>
        <v>89</v>
      </c>
    </row>
    <row r="26" spans="1:3" x14ac:dyDescent="0.45">
      <c r="A26" s="100" t="s">
        <v>289</v>
      </c>
      <c r="B26" s="102" t="s">
        <v>209</v>
      </c>
      <c r="C26" s="100">
        <f>VLOOKUP(GroupVertices[[#This Row],[Vertex]], Vertices[], MATCH("ID", Vertices[#Headers], 0), FALSE)</f>
        <v>81</v>
      </c>
    </row>
    <row r="27" spans="1:3" x14ac:dyDescent="0.45">
      <c r="A27" s="100" t="s">
        <v>289</v>
      </c>
      <c r="B27" s="102" t="s">
        <v>204</v>
      </c>
      <c r="C27" s="100">
        <f>VLOOKUP(GroupVertices[[#This Row],[Vertex]], Vertices[], MATCH("ID", Vertices[#Headers], 0), FALSE)</f>
        <v>76</v>
      </c>
    </row>
    <row r="28" spans="1:3" x14ac:dyDescent="0.45">
      <c r="A28" s="100" t="s">
        <v>289</v>
      </c>
      <c r="B28" s="102" t="s">
        <v>197</v>
      </c>
      <c r="C28" s="100">
        <f>VLOOKUP(GroupVertices[[#This Row],[Vertex]], Vertices[], MATCH("ID", Vertices[#Headers], 0), FALSE)</f>
        <v>67</v>
      </c>
    </row>
    <row r="29" spans="1:3" x14ac:dyDescent="0.45">
      <c r="A29" s="100" t="s">
        <v>289</v>
      </c>
      <c r="B29" s="102" t="s">
        <v>195</v>
      </c>
      <c r="C29" s="100">
        <f>VLOOKUP(GroupVertices[[#This Row],[Vertex]], Vertices[], MATCH("ID", Vertices[#Headers], 0), FALSE)</f>
        <v>65</v>
      </c>
    </row>
    <row r="30" spans="1:3" x14ac:dyDescent="0.45">
      <c r="A30" s="100" t="s">
        <v>289</v>
      </c>
      <c r="B30" s="102" t="s">
        <v>194</v>
      </c>
      <c r="C30" s="100">
        <f>VLOOKUP(GroupVertices[[#This Row],[Vertex]], Vertices[], MATCH("ID", Vertices[#Headers], 0), FALSE)</f>
        <v>64</v>
      </c>
    </row>
    <row r="31" spans="1:3" x14ac:dyDescent="0.45">
      <c r="A31" s="100" t="s">
        <v>290</v>
      </c>
      <c r="B31" s="102" t="s">
        <v>183</v>
      </c>
      <c r="C31" s="100">
        <f>VLOOKUP(GroupVertices[[#This Row],[Vertex]], Vertices[], MATCH("ID", Vertices[#Headers], 0), FALSE)</f>
        <v>84</v>
      </c>
    </row>
    <row r="32" spans="1:3" x14ac:dyDescent="0.45">
      <c r="A32" s="100" t="s">
        <v>290</v>
      </c>
      <c r="B32" s="102" t="s">
        <v>219</v>
      </c>
      <c r="C32" s="100">
        <f>VLOOKUP(GroupVertices[[#This Row],[Vertex]], Vertices[], MATCH("ID", Vertices[#Headers], 0), FALSE)</f>
        <v>94</v>
      </c>
    </row>
    <row r="33" spans="1:3" x14ac:dyDescent="0.45">
      <c r="A33" s="100" t="s">
        <v>290</v>
      </c>
      <c r="B33" s="102" t="s">
        <v>178</v>
      </c>
      <c r="C33" s="100">
        <f>VLOOKUP(GroupVertices[[#This Row],[Vertex]], Vertices[], MATCH("ID", Vertices[#Headers], 0), FALSE)</f>
        <v>6</v>
      </c>
    </row>
    <row r="34" spans="1:3" x14ac:dyDescent="0.45">
      <c r="A34" s="100" t="s">
        <v>290</v>
      </c>
      <c r="B34" s="102" t="s">
        <v>179</v>
      </c>
      <c r="C34" s="100">
        <f>VLOOKUP(GroupVertices[[#This Row],[Vertex]], Vertices[], MATCH("ID", Vertices[#Headers], 0), FALSE)</f>
        <v>10</v>
      </c>
    </row>
    <row r="35" spans="1:3" x14ac:dyDescent="0.45">
      <c r="A35" s="100" t="s">
        <v>290</v>
      </c>
      <c r="B35" s="102" t="s">
        <v>217</v>
      </c>
      <c r="C35" s="100">
        <f>VLOOKUP(GroupVertices[[#This Row],[Vertex]], Vertices[], MATCH("ID", Vertices[#Headers], 0), FALSE)</f>
        <v>92</v>
      </c>
    </row>
    <row r="36" spans="1:3" x14ac:dyDescent="0.45">
      <c r="A36" s="100" t="s">
        <v>290</v>
      </c>
      <c r="B36" s="102" t="s">
        <v>211</v>
      </c>
      <c r="C36" s="100">
        <f>VLOOKUP(GroupVertices[[#This Row],[Vertex]], Vertices[], MATCH("ID", Vertices[#Headers], 0), FALSE)</f>
        <v>83</v>
      </c>
    </row>
    <row r="37" spans="1:3" x14ac:dyDescent="0.45">
      <c r="A37" s="100" t="s">
        <v>290</v>
      </c>
      <c r="B37" s="102" t="s">
        <v>210</v>
      </c>
      <c r="C37" s="100">
        <f>VLOOKUP(GroupVertices[[#This Row],[Vertex]], Vertices[], MATCH("ID", Vertices[#Headers], 0), FALSE)</f>
        <v>82</v>
      </c>
    </row>
    <row r="38" spans="1:3" x14ac:dyDescent="0.45">
      <c r="A38" s="100" t="s">
        <v>290</v>
      </c>
      <c r="B38" s="102" t="s">
        <v>192</v>
      </c>
      <c r="C38" s="100">
        <f>VLOOKUP(GroupVertices[[#This Row],[Vertex]], Vertices[], MATCH("ID", Vertices[#Headers], 0), FALSE)</f>
        <v>11</v>
      </c>
    </row>
    <row r="39" spans="1:3" x14ac:dyDescent="0.45">
      <c r="A39" s="100" t="s">
        <v>290</v>
      </c>
      <c r="B39" s="102" t="s">
        <v>189</v>
      </c>
      <c r="C39" s="100">
        <f>VLOOKUP(GroupVertices[[#This Row],[Vertex]], Vertices[], MATCH("ID", Vertices[#Headers], 0), FALSE)</f>
        <v>7</v>
      </c>
    </row>
    <row r="40" spans="1:3" x14ac:dyDescent="0.45">
      <c r="A40" s="100" t="s">
        <v>291</v>
      </c>
      <c r="B40" s="102" t="s">
        <v>185</v>
      </c>
      <c r="C40" s="100">
        <f>VLOOKUP(GroupVertices[[#This Row],[Vertex]], Vertices[], MATCH("ID", Vertices[#Headers], 0), FALSE)</f>
        <v>91</v>
      </c>
    </row>
    <row r="41" spans="1:3" x14ac:dyDescent="0.45">
      <c r="A41" s="100" t="s">
        <v>291</v>
      </c>
      <c r="B41" s="102" t="s">
        <v>220</v>
      </c>
      <c r="C41" s="100">
        <f>VLOOKUP(GroupVertices[[#This Row],[Vertex]], Vertices[], MATCH("ID", Vertices[#Headers], 0), FALSE)</f>
        <v>95</v>
      </c>
    </row>
    <row r="42" spans="1:3" x14ac:dyDescent="0.45">
      <c r="A42" s="100" t="s">
        <v>291</v>
      </c>
      <c r="B42" s="102" t="s">
        <v>216</v>
      </c>
      <c r="C42" s="100">
        <f>VLOOKUP(GroupVertices[[#This Row],[Vertex]], Vertices[], MATCH("ID", Vertices[#Headers], 0), FALSE)</f>
        <v>90</v>
      </c>
    </row>
    <row r="43" spans="1:3" x14ac:dyDescent="0.45">
      <c r="A43" s="100" t="s">
        <v>291</v>
      </c>
      <c r="B43" s="102" t="s">
        <v>182</v>
      </c>
      <c r="C43" s="100">
        <f>VLOOKUP(GroupVertices[[#This Row],[Vertex]], Vertices[], MATCH("ID", Vertices[#Headers], 0), FALSE)</f>
        <v>72</v>
      </c>
    </row>
    <row r="44" spans="1:3" x14ac:dyDescent="0.45">
      <c r="A44" s="100" t="s">
        <v>291</v>
      </c>
      <c r="B44" s="102" t="s">
        <v>201</v>
      </c>
      <c r="C44" s="100">
        <f>VLOOKUP(GroupVertices[[#This Row],[Vertex]], Vertices[], MATCH("ID", Vertices[#Headers], 0), FALSE)</f>
        <v>73</v>
      </c>
    </row>
    <row r="45" spans="1:3" x14ac:dyDescent="0.45">
      <c r="A45" s="100" t="s">
        <v>292</v>
      </c>
      <c r="B45" s="102" t="s">
        <v>177</v>
      </c>
      <c r="C45" s="100">
        <f>VLOOKUP(GroupVertices[[#This Row],[Vertex]], Vertices[], MATCH("ID", Vertices[#Headers], 0), FALSE)</f>
        <v>5</v>
      </c>
    </row>
    <row r="46" spans="1:3" x14ac:dyDescent="0.45">
      <c r="A46" s="100" t="s">
        <v>292</v>
      </c>
      <c r="B46" s="102" t="s">
        <v>207</v>
      </c>
      <c r="C46" s="100">
        <f>VLOOKUP(GroupVertices[[#This Row],[Vertex]], Vertices[], MATCH("ID", Vertices[#Headers], 0), FALSE)</f>
        <v>79</v>
      </c>
    </row>
    <row r="47" spans="1:3" x14ac:dyDescent="0.45">
      <c r="A47" s="100" t="s">
        <v>292</v>
      </c>
      <c r="B47" s="102" t="s">
        <v>193</v>
      </c>
      <c r="C47" s="100">
        <f>VLOOKUP(GroupVertices[[#This Row],[Vertex]], Vertices[], MATCH("ID", Vertices[#Headers], 0), FALSE)</f>
        <v>62</v>
      </c>
    </row>
    <row r="48" spans="1:3" x14ac:dyDescent="0.45">
      <c r="A48" s="100" t="s">
        <v>292</v>
      </c>
      <c r="B48" s="102" t="s">
        <v>191</v>
      </c>
      <c r="C48" s="100">
        <f>VLOOKUP(GroupVertices[[#This Row],[Vertex]], Vertices[], MATCH("ID", Vertices[#Headers], 0), FALSE)</f>
        <v>9</v>
      </c>
    </row>
    <row r="49" spans="1:3" x14ac:dyDescent="0.45">
      <c r="A49" s="100" t="s">
        <v>292</v>
      </c>
      <c r="B49" s="102" t="s">
        <v>188</v>
      </c>
      <c r="C49" s="100">
        <f>VLOOKUP(GroupVertices[[#This Row],[Vertex]], Vertices[], MATCH("ID", Vertices[#Headers], 0), FALSE)</f>
        <v>4</v>
      </c>
    </row>
    <row r="50" spans="1:3" x14ac:dyDescent="0.45">
      <c r="A50" s="100" t="s">
        <v>293</v>
      </c>
      <c r="B50" s="102" t="s">
        <v>186</v>
      </c>
      <c r="C50" s="100">
        <f>VLOOKUP(GroupVertices[[#This Row],[Vertex]], Vertices[], MATCH("ID", Vertices[#Headers], 0), FALSE)</f>
        <v>100</v>
      </c>
    </row>
    <row r="51" spans="1:3" x14ac:dyDescent="0.45">
      <c r="A51" s="100" t="s">
        <v>293</v>
      </c>
      <c r="B51" s="102" t="s">
        <v>227</v>
      </c>
      <c r="C51" s="100">
        <f>VLOOKUP(GroupVertices[[#This Row],[Vertex]], Vertices[], MATCH("ID", Vertices[#Headers], 0), FALSE)</f>
        <v>103</v>
      </c>
    </row>
    <row r="52" spans="1:3" x14ac:dyDescent="0.45">
      <c r="A52" s="100" t="s">
        <v>293</v>
      </c>
      <c r="B52" s="102" t="s">
        <v>225</v>
      </c>
      <c r="C52" s="100">
        <f>VLOOKUP(GroupVertices[[#This Row],[Vertex]], Vertices[], MATCH("ID", Vertices[#Headers], 0), FALSE)</f>
        <v>101</v>
      </c>
    </row>
    <row r="53" spans="1:3" x14ac:dyDescent="0.45">
      <c r="A53" s="100" t="s">
        <v>294</v>
      </c>
      <c r="B53" s="102" t="s">
        <v>187</v>
      </c>
      <c r="C53" s="100">
        <f>VLOOKUP(GroupVertices[[#This Row],[Vertex]], Vertices[], MATCH("ID", Vertices[#Headers], 0), FALSE)</f>
        <v>108</v>
      </c>
    </row>
    <row r="54" spans="1:3" x14ac:dyDescent="0.45">
      <c r="A54" s="100" t="s">
        <v>294</v>
      </c>
      <c r="B54" s="102" t="s">
        <v>232</v>
      </c>
      <c r="C54" s="100">
        <f>VLOOKUP(GroupVertices[[#This Row],[Vertex]], Vertices[], MATCH("ID", Vertices[#Headers], 0), FALSE)</f>
        <v>109</v>
      </c>
    </row>
    <row r="55" spans="1:3" x14ac:dyDescent="0.45">
      <c r="A55" s="100" t="s">
        <v>295</v>
      </c>
      <c r="B55" s="102" t="s">
        <v>184</v>
      </c>
      <c r="C55" s="100">
        <f>VLOOKUP(GroupVertices[[#This Row],[Vertex]], Vertices[], MATCH("ID", Vertices[#Headers], 0), FALSE)</f>
        <v>87</v>
      </c>
    </row>
    <row r="56" spans="1:3" x14ac:dyDescent="0.45">
      <c r="A56" s="100" t="s">
        <v>295</v>
      </c>
      <c r="B56" s="102" t="s">
        <v>214</v>
      </c>
      <c r="C56" s="100">
        <f>VLOOKUP(GroupVertices[[#This Row],[Vertex]], Vertices[], MATCH("ID", Vertices[#Headers], 0), FALSE)</f>
        <v>88</v>
      </c>
    </row>
    <row r="57" spans="1:3" x14ac:dyDescent="0.45">
      <c r="A57" s="100" t="s">
        <v>296</v>
      </c>
      <c r="B57" s="102" t="s">
        <v>181</v>
      </c>
      <c r="C57" s="100">
        <f>VLOOKUP(GroupVertices[[#This Row],[Vertex]], Vertices[], MATCH("ID", Vertices[#Headers], 0), FALSE)</f>
        <v>70</v>
      </c>
    </row>
    <row r="58" spans="1:3" x14ac:dyDescent="0.45">
      <c r="A58" s="100" t="s">
        <v>296</v>
      </c>
      <c r="B58" s="102" t="s">
        <v>200</v>
      </c>
      <c r="C58" s="100">
        <f>VLOOKUP(GroupVertices[[#This Row],[Vertex]], Vertices[], MATCH("ID", Vertices[#Headers], 0), FALSE)</f>
        <v>71</v>
      </c>
    </row>
  </sheetData>
  <dataConsolidate/>
  <dataValidations xWindow="58" yWindow="226" count="3">
    <dataValidation allowBlank="1" showInputMessage="1" showErrorMessage="1" promptTitle="Group Name" prompt="Enter the name of the group.  The group name must also be entered on the Groups worksheet." sqref="A2:A58" xr:uid="{00000000-0002-0000-0400-000000000000}"/>
    <dataValidation allowBlank="1" showInputMessage="1" showErrorMessage="1" promptTitle="Vertex Name" prompt="Enter the name of a vertex to include in the group." sqref="B2:B58" xr:uid="{00000000-0002-0000-0400-000001000000}"/>
    <dataValidation allowBlank="1" showInputMessage="1" promptTitle="Vertex ID" prompt="This is the value of the hidden ID cell in the Vertices worksheet.  It gets filled in by the items on the NodeXL, Analysis, Groups menu." sqref="C2:C58" xr:uid="{00000000-0002-0000-0400-000002000000}"/>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X144"/>
  <sheetViews>
    <sheetView workbookViewId="0">
      <selection activeCell="A2" sqref="A2"/>
    </sheetView>
  </sheetViews>
  <sheetFormatPr defaultRowHeight="14.25" x14ac:dyDescent="0.45"/>
  <cols>
    <col min="1" max="1" width="43.1328125" customWidth="1"/>
    <col min="2" max="2" width="13.86328125" customWidth="1"/>
    <col min="3" max="3" width="9.1328125" customWidth="1"/>
    <col min="4" max="4" width="12.86328125" hidden="1" customWidth="1"/>
    <col min="5" max="5" width="19.73046875" hidden="1" customWidth="1"/>
    <col min="6" max="6" width="15.59765625" hidden="1" customWidth="1"/>
    <col min="7" max="7" width="22.1328125" hidden="1" customWidth="1"/>
    <col min="8" max="8" width="17.1328125" hidden="1" customWidth="1"/>
    <col min="9" max="9" width="23.86328125" hidden="1" customWidth="1"/>
    <col min="10" max="10" width="28.265625" hidden="1" customWidth="1"/>
    <col min="11" max="11" width="34.86328125" hidden="1" customWidth="1"/>
    <col min="12" max="12" width="25" hidden="1" customWidth="1"/>
    <col min="13" max="13" width="31.59765625" hidden="1" customWidth="1"/>
    <col min="14" max="14" width="26.59765625" hidden="1" customWidth="1"/>
    <col min="15" max="17" width="33.265625" hidden="1" customWidth="1"/>
    <col min="18" max="18" width="26.59765625" hidden="1" customWidth="1"/>
    <col min="19" max="19" width="33" hidden="1" customWidth="1"/>
    <col min="20" max="20" width="19.59765625" hidden="1" customWidth="1"/>
    <col min="21" max="21" width="26.1328125" hidden="1" customWidth="1"/>
    <col min="22" max="22" width="9.1328125" hidden="1" customWidth="1"/>
    <col min="23" max="23" width="34.1328125" hidden="1" customWidth="1"/>
    <col min="24" max="24" width="25.1328125" hidden="1" customWidth="1"/>
  </cols>
  <sheetData>
    <row r="1" spans="1:24" ht="15" customHeight="1" thickBot="1" x14ac:dyDescent="0.5">
      <c r="A1" s="13" t="s">
        <v>162</v>
      </c>
      <c r="B1" s="13" t="s">
        <v>17</v>
      </c>
      <c r="D1" t="s">
        <v>80</v>
      </c>
      <c r="E1" t="s">
        <v>81</v>
      </c>
      <c r="F1" s="37" t="s">
        <v>87</v>
      </c>
      <c r="G1" s="38" t="s">
        <v>88</v>
      </c>
      <c r="H1" s="37" t="s">
        <v>93</v>
      </c>
      <c r="I1" s="38" t="s">
        <v>94</v>
      </c>
      <c r="J1" s="37" t="s">
        <v>99</v>
      </c>
      <c r="K1" s="38" t="s">
        <v>100</v>
      </c>
      <c r="L1" s="37" t="s">
        <v>105</v>
      </c>
      <c r="M1" s="38" t="s">
        <v>106</v>
      </c>
      <c r="N1" s="37" t="s">
        <v>111</v>
      </c>
      <c r="O1" s="38" t="s">
        <v>112</v>
      </c>
      <c r="P1" s="38" t="s">
        <v>138</v>
      </c>
      <c r="Q1" s="38" t="s">
        <v>139</v>
      </c>
      <c r="R1" s="37" t="s">
        <v>117</v>
      </c>
      <c r="S1" s="37" t="s">
        <v>118</v>
      </c>
      <c r="T1" s="37" t="s">
        <v>123</v>
      </c>
      <c r="U1" s="38" t="s">
        <v>124</v>
      </c>
      <c r="W1" t="s">
        <v>128</v>
      </c>
      <c r="X1" t="s">
        <v>17</v>
      </c>
    </row>
    <row r="2" spans="1:24" ht="14.65" thickTop="1" x14ac:dyDescent="0.45">
      <c r="A2" s="36" t="s">
        <v>240</v>
      </c>
      <c r="B2" s="36" t="s">
        <v>31</v>
      </c>
      <c r="D2" s="33">
        <f>MIN(Vertices[Degree])</f>
        <v>1</v>
      </c>
      <c r="E2" s="3">
        <f>COUNTIF(Vertices[Degree], "&gt;= " &amp; D2) - COUNTIF(Vertices[Degree], "&gt;=" &amp; D3)</f>
        <v>41</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42</v>
      </c>
      <c r="L2" s="39">
        <f>MIN(Vertices[Closeness Centrality])</f>
        <v>4.3480000000000003E-3</v>
      </c>
      <c r="M2" s="40">
        <f>COUNTIF(Vertices[Closeness Centrality], "&gt;= " &amp; L2) - COUNTIF(Vertices[Closeness Centrality], "&gt;=" &amp; L3)</f>
        <v>48</v>
      </c>
      <c r="N2" s="39">
        <f>MIN(Vertices[Eigenvector Centrality])</f>
        <v>0</v>
      </c>
      <c r="O2" s="40">
        <f>COUNTIF(Vertices[Eigenvector Centrality], "&gt;= " &amp; N2) - COUNTIF(Vertices[Eigenvector Centrality], "&gt;=" &amp; N3)</f>
        <v>16</v>
      </c>
      <c r="P2" s="39">
        <f>MIN(Vertices[PageRank])</f>
        <v>0.48211199999999999</v>
      </c>
      <c r="Q2" s="40">
        <f>COUNTIF(Vertices[PageRank], "&gt;= " &amp; P2) - COUNTIF(Vertices[PageRank], "&gt;=" &amp; P3)</f>
        <v>35</v>
      </c>
      <c r="R2" s="39">
        <f>MIN(Vertices[Clustering Coefficient])</f>
        <v>0</v>
      </c>
      <c r="S2" s="45">
        <f>COUNTIF(Vertices[Clustering Coefficient], "&gt;= " &amp; R2) - COUNTIF(Vertices[Clustering Coefficient], "&gt;=" &amp; R3)</f>
        <v>0</v>
      </c>
      <c r="T2" s="39">
        <f ca="1">MIN(INDIRECT(DynamicFilterSourceColumnRange))</f>
        <v>154.30667114257813</v>
      </c>
      <c r="U2" s="40">
        <f t="shared" ref="U2:U45" ca="1" si="0">COUNTIF(INDIRECT(DynamicFilterSourceColumnRange), "&gt;= " &amp; T2) - COUNTIF(INDIRECT(DynamicFilterSourceColumnRange), "&gt;=" &amp; T3)</f>
        <v>7</v>
      </c>
      <c r="W2" t="s">
        <v>125</v>
      </c>
      <c r="X2">
        <f>ROWS(HistogramBins[Degree Bin]) - 1</f>
        <v>43</v>
      </c>
    </row>
    <row r="3" spans="1:24" x14ac:dyDescent="0.45">
      <c r="A3" s="101"/>
      <c r="B3" s="101"/>
      <c r="D3" s="34">
        <f t="shared" ref="D3:D44" si="1">D2+($D$45-$D$2)/BinDivisor</f>
        <v>1.5116279069767442</v>
      </c>
      <c r="E3" s="3">
        <f>COUNTIF(Vertices[Degree], "&gt;= " &amp; D3) - COUNTIF(Vertices[Degree], "&gt;=" &amp; D4)</f>
        <v>7</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16.531007744186049</v>
      </c>
      <c r="K3" s="42">
        <f>COUNTIF(Vertices[Betweenness Centrality], "&gt;= " &amp; J3) - COUNTIF(Vertices[Betweenness Centrality], "&gt;=" &amp; J4)</f>
        <v>1</v>
      </c>
      <c r="L3" s="41">
        <f t="shared" ref="L3:L44" si="5">L2+($L$45-$L$2)/BinDivisor</f>
        <v>2.7502697674418604E-2</v>
      </c>
      <c r="M3" s="42">
        <f>COUNTIF(Vertices[Closeness Centrality], "&gt;= " &amp; L3) - COUNTIF(Vertices[Closeness Centrality], "&gt;=" &amp; L4)</f>
        <v>0</v>
      </c>
      <c r="N3" s="41">
        <f t="shared" ref="N3:N44" si="6">N2+($N$45-$N$2)/BinDivisor</f>
        <v>1.1448139534883722E-3</v>
      </c>
      <c r="O3" s="42">
        <f>COUNTIF(Vertices[Eigenvector Centrality], "&gt;= " &amp; N3) - COUNTIF(Vertices[Eigenvector Centrality], "&gt;=" &amp; N4)</f>
        <v>0</v>
      </c>
      <c r="P3" s="41">
        <f t="shared" ref="P3:P44" si="7">P2+($P$45-$P$2)/BinDivisor</f>
        <v>0.69627734883720926</v>
      </c>
      <c r="Q3" s="42">
        <f>COUNTIF(Vertices[PageRank], "&gt;= " &amp; P3) - COUNTIF(Vertices[PageRank], "&gt;=" &amp; P4)</f>
        <v>5</v>
      </c>
      <c r="R3" s="41">
        <f t="shared" ref="R3:R44" si="8">R2+($R$45-$R$2)/BinDivisor</f>
        <v>0</v>
      </c>
      <c r="S3" s="46">
        <f>COUNTIF(Vertices[Clustering Coefficient], "&gt;= " &amp; R3) - COUNTIF(Vertices[Clustering Coefficient], "&gt;=" &amp; R4)</f>
        <v>0</v>
      </c>
      <c r="T3" s="41">
        <f t="shared" ref="T3:T44" ca="1" si="9">T2+($T$45-$T$2)/BinDivisor</f>
        <v>379.77003798373909</v>
      </c>
      <c r="U3" s="42">
        <f t="shared" ca="1" si="0"/>
        <v>1</v>
      </c>
      <c r="W3" t="s">
        <v>126</v>
      </c>
      <c r="X3" t="s">
        <v>86</v>
      </c>
    </row>
    <row r="4" spans="1:24" x14ac:dyDescent="0.45">
      <c r="A4" s="36" t="s">
        <v>146</v>
      </c>
      <c r="B4" s="36">
        <v>57</v>
      </c>
      <c r="D4" s="34">
        <f t="shared" si="1"/>
        <v>2.0232558139534884</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33.062015488372097</v>
      </c>
      <c r="K4" s="40">
        <f>COUNTIF(Vertices[Betweenness Centrality], "&gt;= " &amp; J4) - COUNTIF(Vertices[Betweenness Centrality], "&gt;=" &amp; J5)</f>
        <v>4</v>
      </c>
      <c r="L4" s="39">
        <f t="shared" si="5"/>
        <v>5.0657395348837203E-2</v>
      </c>
      <c r="M4" s="40">
        <f>COUNTIF(Vertices[Closeness Centrality], "&gt;= " &amp; L4) - COUNTIF(Vertices[Closeness Centrality], "&gt;=" &amp; L5)</f>
        <v>0</v>
      </c>
      <c r="N4" s="39">
        <f t="shared" si="6"/>
        <v>2.2896279069767444E-3</v>
      </c>
      <c r="O4" s="40">
        <f>COUNTIF(Vertices[Eigenvector Centrality], "&gt;= " &amp; N4) - COUNTIF(Vertices[Eigenvector Centrality], "&gt;=" &amp; N5)</f>
        <v>0</v>
      </c>
      <c r="P4" s="39">
        <f t="shared" si="7"/>
        <v>0.91044269767441854</v>
      </c>
      <c r="Q4" s="40">
        <f>COUNTIF(Vertices[PageRank], "&gt;= " &amp; P4) - COUNTIF(Vertices[PageRank], "&gt;=" &amp; P5)</f>
        <v>8</v>
      </c>
      <c r="R4" s="39">
        <f t="shared" si="8"/>
        <v>0</v>
      </c>
      <c r="S4" s="45">
        <f>COUNTIF(Vertices[Clustering Coefficient], "&gt;= " &amp; R4) - COUNTIF(Vertices[Clustering Coefficient], "&gt;=" &amp; R5)</f>
        <v>0</v>
      </c>
      <c r="T4" s="39">
        <f t="shared" ca="1" si="9"/>
        <v>605.23340482490005</v>
      </c>
      <c r="U4" s="40">
        <f t="shared" ca="1" si="0"/>
        <v>0</v>
      </c>
      <c r="W4" s="12" t="s">
        <v>127</v>
      </c>
      <c r="X4" s="12" t="s">
        <v>307</v>
      </c>
    </row>
    <row r="5" spans="1:24" x14ac:dyDescent="0.45">
      <c r="A5" s="101"/>
      <c r="B5" s="101"/>
      <c r="D5" s="34">
        <f t="shared" si="1"/>
        <v>2.5348837209302326</v>
      </c>
      <c r="E5" s="3">
        <f>COUNTIF(Vertices[Degree], "&gt;= " &amp; D5) - COUNTIF(Vertices[Degree], "&gt;=" &amp; D6)</f>
        <v>1</v>
      </c>
      <c r="F5" s="41">
        <f t="shared" si="2"/>
        <v>0</v>
      </c>
      <c r="G5" s="42">
        <f>COUNTIF(Vertices[In-Degree], "&gt;= " &amp; F5) - COUNTIF(Vertices[In-Degree], "&gt;=" &amp; F6)</f>
        <v>0</v>
      </c>
      <c r="H5" s="41">
        <f t="shared" si="3"/>
        <v>0</v>
      </c>
      <c r="I5" s="42">
        <f>COUNTIF(Vertices[Out-Degree], "&gt;= " &amp; H5) - COUNTIF(Vertices[Out-Degree], "&gt;=" &amp; H6)</f>
        <v>0</v>
      </c>
      <c r="J5" s="41">
        <f t="shared" si="4"/>
        <v>49.593023232558146</v>
      </c>
      <c r="K5" s="42">
        <f>COUNTIF(Vertices[Betweenness Centrality], "&gt;= " &amp; J5) - COUNTIF(Vertices[Betweenness Centrality], "&gt;=" &amp; J6)</f>
        <v>0</v>
      </c>
      <c r="L5" s="41">
        <f t="shared" si="5"/>
        <v>7.3812093023255809E-2</v>
      </c>
      <c r="M5" s="42">
        <f>COUNTIF(Vertices[Closeness Centrality], "&gt;= " &amp; L5) - COUNTIF(Vertices[Closeness Centrality], "&gt;=" &amp; L6)</f>
        <v>0</v>
      </c>
      <c r="N5" s="41">
        <f t="shared" si="6"/>
        <v>3.4344418604651166E-3</v>
      </c>
      <c r="O5" s="42">
        <f>COUNTIF(Vertices[Eigenvector Centrality], "&gt;= " &amp; N5) - COUNTIF(Vertices[Eigenvector Centrality], "&gt;=" &amp; N6)</f>
        <v>3</v>
      </c>
      <c r="P5" s="41">
        <f t="shared" si="7"/>
        <v>1.1246080465116277</v>
      </c>
      <c r="Q5" s="42">
        <f>COUNTIF(Vertices[PageRank], "&gt;= " &amp; P5) - COUNTIF(Vertices[PageRank], "&gt;=" &amp; P6)</f>
        <v>0</v>
      </c>
      <c r="R5" s="41">
        <f t="shared" si="8"/>
        <v>0</v>
      </c>
      <c r="S5" s="46">
        <f>COUNTIF(Vertices[Clustering Coefficient], "&gt;= " &amp; R5) - COUNTIF(Vertices[Clustering Coefficient], "&gt;=" &amp; R6)</f>
        <v>0</v>
      </c>
      <c r="T5" s="41">
        <f t="shared" ca="1" si="9"/>
        <v>830.69677166606107</v>
      </c>
      <c r="U5" s="42">
        <f t="shared" ca="1" si="0"/>
        <v>8</v>
      </c>
    </row>
    <row r="6" spans="1:24" x14ac:dyDescent="0.45">
      <c r="A6" s="36" t="s">
        <v>148</v>
      </c>
      <c r="B6" s="36">
        <v>59</v>
      </c>
      <c r="D6" s="34">
        <f t="shared" si="1"/>
        <v>3.0465116279069768</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66.124030976744194</v>
      </c>
      <c r="K6" s="40">
        <f>COUNTIF(Vertices[Betweenness Centrality], "&gt;= " &amp; J6) - COUNTIF(Vertices[Betweenness Centrality], "&gt;=" &amp; J7)</f>
        <v>0</v>
      </c>
      <c r="L6" s="39">
        <f t="shared" si="5"/>
        <v>9.6966790697674415E-2</v>
      </c>
      <c r="M6" s="40">
        <f>COUNTIF(Vertices[Closeness Centrality], "&gt;= " &amp; L6) - COUNTIF(Vertices[Closeness Centrality], "&gt;=" &amp; L7)</f>
        <v>0</v>
      </c>
      <c r="N6" s="39">
        <f t="shared" si="6"/>
        <v>4.5792558139534888E-3</v>
      </c>
      <c r="O6" s="40">
        <f>COUNTIF(Vertices[Eigenvector Centrality], "&gt;= " &amp; N6) - COUNTIF(Vertices[Eigenvector Centrality], "&gt;=" &amp; N7)</f>
        <v>1</v>
      </c>
      <c r="P6" s="39">
        <f t="shared" si="7"/>
        <v>1.338773395348837</v>
      </c>
      <c r="Q6" s="40">
        <f>COUNTIF(Vertices[PageRank], "&gt;= " &amp; P6) - COUNTIF(Vertices[PageRank], "&gt;=" &amp; P7)</f>
        <v>2</v>
      </c>
      <c r="R6" s="39">
        <f t="shared" si="8"/>
        <v>0</v>
      </c>
      <c r="S6" s="45">
        <f>COUNTIF(Vertices[Clustering Coefficient], "&gt;= " &amp; R6) - COUNTIF(Vertices[Clustering Coefficient], "&gt;=" &amp; R7)</f>
        <v>0</v>
      </c>
      <c r="T6" s="39">
        <f t="shared" ca="1" si="9"/>
        <v>1056.160138507222</v>
      </c>
      <c r="U6" s="40">
        <f t="shared" ca="1" si="0"/>
        <v>2</v>
      </c>
    </row>
    <row r="7" spans="1:24" x14ac:dyDescent="0.45">
      <c r="A7" s="36" t="s">
        <v>149</v>
      </c>
      <c r="B7" s="36">
        <v>2</v>
      </c>
      <c r="D7" s="34">
        <f t="shared" si="1"/>
        <v>3.558139534883721</v>
      </c>
      <c r="E7" s="3">
        <f>COUNTIF(Vertices[Degree], "&gt;= " &amp; D7) - COUNTIF(Vertices[Degree], "&gt;=" &amp; D8)</f>
        <v>3</v>
      </c>
      <c r="F7" s="41">
        <f t="shared" si="2"/>
        <v>0</v>
      </c>
      <c r="G7" s="42">
        <f>COUNTIF(Vertices[In-Degree], "&gt;= " &amp; F7) - COUNTIF(Vertices[In-Degree], "&gt;=" &amp; F8)</f>
        <v>0</v>
      </c>
      <c r="H7" s="41">
        <f t="shared" si="3"/>
        <v>0</v>
      </c>
      <c r="I7" s="42">
        <f>COUNTIF(Vertices[Out-Degree], "&gt;= " &amp; H7) - COUNTIF(Vertices[Out-Degree], "&gt;=" &amp; H8)</f>
        <v>0</v>
      </c>
      <c r="J7" s="41">
        <f t="shared" si="4"/>
        <v>82.655038720930236</v>
      </c>
      <c r="K7" s="42">
        <f>COUNTIF(Vertices[Betweenness Centrality], "&gt;= " &amp; J7) - COUNTIF(Vertices[Betweenness Centrality], "&gt;=" &amp; J8)</f>
        <v>1</v>
      </c>
      <c r="L7" s="41">
        <f t="shared" si="5"/>
        <v>0.12012148837209302</v>
      </c>
      <c r="M7" s="42">
        <f>COUNTIF(Vertices[Closeness Centrality], "&gt;= " &amp; L7) - COUNTIF(Vertices[Closeness Centrality], "&gt;=" &amp; L8)</f>
        <v>0</v>
      </c>
      <c r="N7" s="41">
        <f t="shared" si="6"/>
        <v>5.724069767441861E-3</v>
      </c>
      <c r="O7" s="42">
        <f>COUNTIF(Vertices[Eigenvector Centrality], "&gt;= " &amp; N7) - COUNTIF(Vertices[Eigenvector Centrality], "&gt;=" &amp; N8)</f>
        <v>9</v>
      </c>
      <c r="P7" s="41">
        <f t="shared" si="7"/>
        <v>1.5529387441860463</v>
      </c>
      <c r="Q7" s="42">
        <f>COUNTIF(Vertices[PageRank], "&gt;= " &amp; P7) - COUNTIF(Vertices[PageRank], "&gt;=" &amp; P8)</f>
        <v>2</v>
      </c>
      <c r="R7" s="41">
        <f t="shared" si="8"/>
        <v>0</v>
      </c>
      <c r="S7" s="46">
        <f>COUNTIF(Vertices[Clustering Coefficient], "&gt;= " &amp; R7) - COUNTIF(Vertices[Clustering Coefficient], "&gt;=" &amp; R8)</f>
        <v>0</v>
      </c>
      <c r="T7" s="41">
        <f t="shared" ca="1" si="9"/>
        <v>1281.6235053483829</v>
      </c>
      <c r="U7" s="42">
        <f t="shared" ca="1" si="0"/>
        <v>1</v>
      </c>
    </row>
    <row r="8" spans="1:24" x14ac:dyDescent="0.45">
      <c r="A8" s="36" t="s">
        <v>150</v>
      </c>
      <c r="B8" s="36">
        <v>61</v>
      </c>
      <c r="D8" s="34">
        <f t="shared" si="1"/>
        <v>4.0697674418604652</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99.186046465116277</v>
      </c>
      <c r="K8" s="40">
        <f>COUNTIF(Vertices[Betweenness Centrality], "&gt;= " &amp; J8) - COUNTIF(Vertices[Betweenness Centrality], "&gt;=" &amp; J9)</f>
        <v>0</v>
      </c>
      <c r="L8" s="39">
        <f t="shared" si="5"/>
        <v>0.14327618604651163</v>
      </c>
      <c r="M8" s="40">
        <f>COUNTIF(Vertices[Closeness Centrality], "&gt;= " &amp; L8) - COUNTIF(Vertices[Closeness Centrality], "&gt;=" &amp; L9)</f>
        <v>0</v>
      </c>
      <c r="N8" s="39">
        <f t="shared" si="6"/>
        <v>6.8688837209302332E-3</v>
      </c>
      <c r="O8" s="40">
        <f>COUNTIF(Vertices[Eigenvector Centrality], "&gt;= " &amp; N8) - COUNTIF(Vertices[Eigenvector Centrality], "&gt;=" &amp; N9)</f>
        <v>0</v>
      </c>
      <c r="P8" s="39">
        <f t="shared" si="7"/>
        <v>1.7671040930232556</v>
      </c>
      <c r="Q8" s="40">
        <f>COUNTIF(Vertices[PageRank], "&gt;= " &amp; P8) - COUNTIF(Vertices[PageRank], "&gt;=" &amp; P9)</f>
        <v>1</v>
      </c>
      <c r="R8" s="39">
        <f t="shared" si="8"/>
        <v>0</v>
      </c>
      <c r="S8" s="45">
        <f>COUNTIF(Vertices[Clustering Coefficient], "&gt;= " &amp; R8) - COUNTIF(Vertices[Clustering Coefficient], "&gt;=" &amp; R9)</f>
        <v>0</v>
      </c>
      <c r="T8" s="39">
        <f t="shared" ca="1" si="9"/>
        <v>1507.0868721895438</v>
      </c>
      <c r="U8" s="40">
        <f t="shared" ca="1" si="0"/>
        <v>0</v>
      </c>
    </row>
    <row r="9" spans="1:24" x14ac:dyDescent="0.45">
      <c r="A9" s="101"/>
      <c r="B9" s="101"/>
      <c r="D9" s="34">
        <f t="shared" si="1"/>
        <v>4.5813953488372094</v>
      </c>
      <c r="E9" s="3">
        <f>COUNTIF(Vertices[Degree], "&gt;= " &amp; D9) - COUNTIF(Vertices[Degree], "&gt;=" &amp; D10)</f>
        <v>2</v>
      </c>
      <c r="F9" s="41">
        <f t="shared" si="2"/>
        <v>0</v>
      </c>
      <c r="G9" s="42">
        <f>COUNTIF(Vertices[In-Degree], "&gt;= " &amp; F9) - COUNTIF(Vertices[In-Degree], "&gt;=" &amp; F10)</f>
        <v>0</v>
      </c>
      <c r="H9" s="41">
        <f t="shared" si="3"/>
        <v>0</v>
      </c>
      <c r="I9" s="42">
        <f>COUNTIF(Vertices[Out-Degree], "&gt;= " &amp; H9) - COUNTIF(Vertices[Out-Degree], "&gt;=" &amp; H10)</f>
        <v>0</v>
      </c>
      <c r="J9" s="41">
        <f t="shared" si="4"/>
        <v>115.71705420930232</v>
      </c>
      <c r="K9" s="42">
        <f>COUNTIF(Vertices[Betweenness Centrality], "&gt;= " &amp; J9) - COUNTIF(Vertices[Betweenness Centrality], "&gt;=" &amp; J10)</f>
        <v>2</v>
      </c>
      <c r="L9" s="41">
        <f t="shared" si="5"/>
        <v>0.16643088372093023</v>
      </c>
      <c r="M9" s="42">
        <f>COUNTIF(Vertices[Closeness Centrality], "&gt;= " &amp; L9) - COUNTIF(Vertices[Closeness Centrality], "&gt;=" &amp; L10)</f>
        <v>0</v>
      </c>
      <c r="N9" s="41">
        <f t="shared" si="6"/>
        <v>8.0136976744186045E-3</v>
      </c>
      <c r="O9" s="42">
        <f>COUNTIF(Vertices[Eigenvector Centrality], "&gt;= " &amp; N9) - COUNTIF(Vertices[Eigenvector Centrality], "&gt;=" &amp; N10)</f>
        <v>0</v>
      </c>
      <c r="P9" s="41">
        <f t="shared" si="7"/>
        <v>1.9812694418604648</v>
      </c>
      <c r="Q9" s="42">
        <f>COUNTIF(Vertices[PageRank], "&gt;= " &amp; P9) - COUNTIF(Vertices[PageRank], "&gt;=" &amp; P10)</f>
        <v>1</v>
      </c>
      <c r="R9" s="41">
        <f t="shared" si="8"/>
        <v>0</v>
      </c>
      <c r="S9" s="46">
        <f>COUNTIF(Vertices[Clustering Coefficient], "&gt;= " &amp; R9) - COUNTIF(Vertices[Clustering Coefficient], "&gt;=" &amp; R10)</f>
        <v>0</v>
      </c>
      <c r="T9" s="41">
        <f t="shared" ca="1" si="9"/>
        <v>1732.5502390307047</v>
      </c>
      <c r="U9" s="42">
        <f t="shared" ca="1" si="0"/>
        <v>2</v>
      </c>
    </row>
    <row r="10" spans="1:24" x14ac:dyDescent="0.45">
      <c r="A10" s="36" t="s">
        <v>151</v>
      </c>
      <c r="B10" s="36">
        <v>1</v>
      </c>
      <c r="D10" s="34">
        <f t="shared" si="1"/>
        <v>5.0930232558139537</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132.24806195348836</v>
      </c>
      <c r="K10" s="40">
        <f>COUNTIF(Vertices[Betweenness Centrality], "&gt;= " &amp; J10) - COUNTIF(Vertices[Betweenness Centrality], "&gt;=" &amp; J11)</f>
        <v>0</v>
      </c>
      <c r="L10" s="39">
        <f t="shared" si="5"/>
        <v>0.18958558139534884</v>
      </c>
      <c r="M10" s="40">
        <f>COUNTIF(Vertices[Closeness Centrality], "&gt;= " &amp; L10) - COUNTIF(Vertices[Closeness Centrality], "&gt;=" &amp; L11)</f>
        <v>0</v>
      </c>
      <c r="N10" s="39">
        <f t="shared" si="6"/>
        <v>9.1585116279069775E-3</v>
      </c>
      <c r="O10" s="40">
        <f>COUNTIF(Vertices[Eigenvector Centrality], "&gt;= " &amp; N10) - COUNTIF(Vertices[Eigenvector Centrality], "&gt;=" &amp; N11)</f>
        <v>2</v>
      </c>
      <c r="P10" s="39">
        <f t="shared" si="7"/>
        <v>2.1954347906976741</v>
      </c>
      <c r="Q10" s="40">
        <f>COUNTIF(Vertices[PageRank], "&gt;= " &amp; P10) - COUNTIF(Vertices[PageRank], "&gt;=" &amp; P11)</f>
        <v>1</v>
      </c>
      <c r="R10" s="39">
        <f t="shared" si="8"/>
        <v>0</v>
      </c>
      <c r="S10" s="45">
        <f>COUNTIF(Vertices[Clustering Coefficient], "&gt;= " &amp; R10) - COUNTIF(Vertices[Clustering Coefficient], "&gt;=" &amp; R11)</f>
        <v>0</v>
      </c>
      <c r="T10" s="39">
        <f t="shared" ca="1" si="9"/>
        <v>1958.0136058718656</v>
      </c>
      <c r="U10" s="40">
        <f t="shared" ca="1" si="0"/>
        <v>4</v>
      </c>
    </row>
    <row r="11" spans="1:24" x14ac:dyDescent="0.45">
      <c r="A11" s="101"/>
      <c r="B11" s="101"/>
      <c r="D11" s="34">
        <f t="shared" si="1"/>
        <v>5.6046511627906979</v>
      </c>
      <c r="E11" s="3">
        <f>COUNTIF(Vertices[Degree], "&gt;= " &amp; D11) - COUNTIF(Vertices[Degree], "&gt;=" &amp; D12)</f>
        <v>1</v>
      </c>
      <c r="F11" s="41">
        <f t="shared" si="2"/>
        <v>0</v>
      </c>
      <c r="G11" s="42">
        <f>COUNTIF(Vertices[In-Degree], "&gt;= " &amp; F11) - COUNTIF(Vertices[In-Degree], "&gt;=" &amp; F12)</f>
        <v>0</v>
      </c>
      <c r="H11" s="41">
        <f t="shared" si="3"/>
        <v>0</v>
      </c>
      <c r="I11" s="42">
        <f>COUNTIF(Vertices[Out-Degree], "&gt;= " &amp; H11) - COUNTIF(Vertices[Out-Degree], "&gt;=" &amp; H12)</f>
        <v>0</v>
      </c>
      <c r="J11" s="41">
        <f t="shared" si="4"/>
        <v>148.7790696976744</v>
      </c>
      <c r="K11" s="42">
        <f>COUNTIF(Vertices[Betweenness Centrality], "&gt;= " &amp; J11) - COUNTIF(Vertices[Betweenness Centrality], "&gt;=" &amp; J12)</f>
        <v>2</v>
      </c>
      <c r="L11" s="41">
        <f t="shared" si="5"/>
        <v>0.21274027906976745</v>
      </c>
      <c r="M11" s="42">
        <f>COUNTIF(Vertices[Closeness Centrality], "&gt;= " &amp; L11) - COUNTIF(Vertices[Closeness Centrality], "&gt;=" &amp; L12)</f>
        <v>0</v>
      </c>
      <c r="N11" s="41">
        <f t="shared" si="6"/>
        <v>1.0303325581395351E-2</v>
      </c>
      <c r="O11" s="42">
        <f>COUNTIF(Vertices[Eigenvector Centrality], "&gt;= " &amp; N11) - COUNTIF(Vertices[Eigenvector Centrality], "&gt;=" &amp; N12)</f>
        <v>0</v>
      </c>
      <c r="P11" s="41">
        <f t="shared" si="7"/>
        <v>2.4096001395348834</v>
      </c>
      <c r="Q11" s="42">
        <f>COUNTIF(Vertices[PageRank], "&gt;= " &amp; P11) - COUNTIF(Vertices[PageRank], "&gt;=" &amp; P12)</f>
        <v>0</v>
      </c>
      <c r="R11" s="41">
        <f t="shared" si="8"/>
        <v>0</v>
      </c>
      <c r="S11" s="46">
        <f>COUNTIF(Vertices[Clustering Coefficient], "&gt;= " &amp; R11) - COUNTIF(Vertices[Clustering Coefficient], "&gt;=" &amp; R12)</f>
        <v>0</v>
      </c>
      <c r="T11" s="41">
        <f t="shared" ca="1" si="9"/>
        <v>2183.4769727130265</v>
      </c>
      <c r="U11" s="42">
        <f t="shared" ca="1" si="0"/>
        <v>1</v>
      </c>
    </row>
    <row r="12" spans="1:24" x14ac:dyDescent="0.45">
      <c r="A12" s="36" t="s">
        <v>170</v>
      </c>
      <c r="B12" s="36" t="s">
        <v>243</v>
      </c>
      <c r="D12" s="34">
        <f t="shared" si="1"/>
        <v>6.1162790697674421</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165.31007744186044</v>
      </c>
      <c r="K12" s="40">
        <f>COUNTIF(Vertices[Betweenness Centrality], "&gt;= " &amp; J12) - COUNTIF(Vertices[Betweenness Centrality], "&gt;=" &amp; J13)</f>
        <v>1</v>
      </c>
      <c r="L12" s="39">
        <f t="shared" si="5"/>
        <v>0.23589497674418605</v>
      </c>
      <c r="M12" s="40">
        <f>COUNTIF(Vertices[Closeness Centrality], "&gt;= " &amp; L12) - COUNTIF(Vertices[Closeness Centrality], "&gt;=" &amp; L13)</f>
        <v>0</v>
      </c>
      <c r="N12" s="39">
        <f t="shared" si="6"/>
        <v>1.1448139534883724E-2</v>
      </c>
      <c r="O12" s="40">
        <f>COUNTIF(Vertices[Eigenvector Centrality], "&gt;= " &amp; N12) - COUNTIF(Vertices[Eigenvector Centrality], "&gt;=" &amp; N13)</f>
        <v>0</v>
      </c>
      <c r="P12" s="39">
        <f t="shared" si="7"/>
        <v>2.6237654883720927</v>
      </c>
      <c r="Q12" s="40">
        <f>COUNTIF(Vertices[PageRank], "&gt;= " &amp; P12) - COUNTIF(Vertices[PageRank], "&gt;=" &amp; P13)</f>
        <v>0</v>
      </c>
      <c r="R12" s="39">
        <f t="shared" si="8"/>
        <v>0</v>
      </c>
      <c r="S12" s="45">
        <f>COUNTIF(Vertices[Clustering Coefficient], "&gt;= " &amp; R12) - COUNTIF(Vertices[Clustering Coefficient], "&gt;=" &amp; R13)</f>
        <v>0</v>
      </c>
      <c r="T12" s="39">
        <f t="shared" ca="1" si="9"/>
        <v>2408.9403395541876</v>
      </c>
      <c r="U12" s="40">
        <f t="shared" ca="1" si="0"/>
        <v>12</v>
      </c>
    </row>
    <row r="13" spans="1:24" x14ac:dyDescent="0.45">
      <c r="A13" s="36" t="s">
        <v>171</v>
      </c>
      <c r="B13" s="36" t="s">
        <v>243</v>
      </c>
      <c r="D13" s="34">
        <f t="shared" si="1"/>
        <v>6.6279069767441863</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181.84108518604648</v>
      </c>
      <c r="K13" s="42">
        <f>COUNTIF(Vertices[Betweenness Centrality], "&gt;= " &amp; J13) - COUNTIF(Vertices[Betweenness Centrality], "&gt;=" &amp; J14)</f>
        <v>1</v>
      </c>
      <c r="L13" s="41">
        <f t="shared" si="5"/>
        <v>0.25904967441860466</v>
      </c>
      <c r="M13" s="42">
        <f>COUNTIF(Vertices[Closeness Centrality], "&gt;= " &amp; L13) - COUNTIF(Vertices[Closeness Centrality], "&gt;=" &amp; L14)</f>
        <v>0</v>
      </c>
      <c r="N13" s="41">
        <f t="shared" si="6"/>
        <v>1.2592953488372097E-2</v>
      </c>
      <c r="O13" s="42">
        <f>COUNTIF(Vertices[Eigenvector Centrality], "&gt;= " &amp; N13) - COUNTIF(Vertices[Eigenvector Centrality], "&gt;=" &amp; N14)</f>
        <v>1</v>
      </c>
      <c r="P13" s="41">
        <f t="shared" si="7"/>
        <v>2.8379308372093019</v>
      </c>
      <c r="Q13" s="42">
        <f>COUNTIF(Vertices[PageRank], "&gt;= " &amp; P13) - COUNTIF(Vertices[PageRank], "&gt;=" &amp; P14)</f>
        <v>0</v>
      </c>
      <c r="R13" s="41">
        <f t="shared" si="8"/>
        <v>0</v>
      </c>
      <c r="S13" s="46">
        <f>COUNTIF(Vertices[Clustering Coefficient], "&gt;= " &amp; R13) - COUNTIF(Vertices[Clustering Coefficient], "&gt;=" &amp; R14)</f>
        <v>0</v>
      </c>
      <c r="T13" s="41">
        <f t="shared" ca="1" si="9"/>
        <v>2634.4037063953488</v>
      </c>
      <c r="U13" s="42">
        <f t="shared" ca="1" si="0"/>
        <v>1</v>
      </c>
    </row>
    <row r="14" spans="1:24" x14ac:dyDescent="0.45">
      <c r="A14" s="101"/>
      <c r="B14" s="101"/>
      <c r="D14" s="34">
        <f t="shared" si="1"/>
        <v>7.1395348837209305</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198.37209293023253</v>
      </c>
      <c r="K14" s="40">
        <f>COUNTIF(Vertices[Betweenness Centrality], "&gt;= " &amp; J14) - COUNTIF(Vertices[Betweenness Centrality], "&gt;=" &amp; J15)</f>
        <v>0</v>
      </c>
      <c r="L14" s="39">
        <f t="shared" si="5"/>
        <v>0.28220437209302324</v>
      </c>
      <c r="M14" s="40">
        <f>COUNTIF(Vertices[Closeness Centrality], "&gt;= " &amp; L14) - COUNTIF(Vertices[Closeness Centrality], "&gt;=" &amp; L15)</f>
        <v>0</v>
      </c>
      <c r="N14" s="39">
        <f t="shared" si="6"/>
        <v>1.373776744186047E-2</v>
      </c>
      <c r="O14" s="40">
        <f>COUNTIF(Vertices[Eigenvector Centrality], "&gt;= " &amp; N14) - COUNTIF(Vertices[Eigenvector Centrality], "&gt;=" &amp; N15)</f>
        <v>0</v>
      </c>
      <c r="P14" s="39">
        <f t="shared" si="7"/>
        <v>3.0520961860465112</v>
      </c>
      <c r="Q14" s="40">
        <f>COUNTIF(Vertices[PageRank], "&gt;= " &amp; P14) - COUNTIF(Vertices[PageRank], "&gt;=" &amp; P15)</f>
        <v>0</v>
      </c>
      <c r="R14" s="39">
        <f t="shared" si="8"/>
        <v>0</v>
      </c>
      <c r="S14" s="45">
        <f>COUNTIF(Vertices[Clustering Coefficient], "&gt;= " &amp; R14) - COUNTIF(Vertices[Clustering Coefficient], "&gt;=" &amp; R15)</f>
        <v>0</v>
      </c>
      <c r="T14" s="39">
        <f t="shared" ca="1" si="9"/>
        <v>2859.8670732365099</v>
      </c>
      <c r="U14" s="40">
        <f t="shared" ca="1" si="0"/>
        <v>15</v>
      </c>
    </row>
    <row r="15" spans="1:24" x14ac:dyDescent="0.45">
      <c r="A15" s="36" t="s">
        <v>152</v>
      </c>
      <c r="B15" s="36">
        <v>5</v>
      </c>
      <c r="D15" s="34">
        <f t="shared" si="1"/>
        <v>7.6511627906976747</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214.90310067441857</v>
      </c>
      <c r="K15" s="42">
        <f>COUNTIF(Vertices[Betweenness Centrality], "&gt;= " &amp; J15) - COUNTIF(Vertices[Betweenness Centrality], "&gt;=" &amp; J16)</f>
        <v>0</v>
      </c>
      <c r="L15" s="41">
        <f t="shared" si="5"/>
        <v>0.30535906976744182</v>
      </c>
      <c r="M15" s="42">
        <f>COUNTIF(Vertices[Closeness Centrality], "&gt;= " &amp; L15) - COUNTIF(Vertices[Closeness Centrality], "&gt;=" &amp; L16)</f>
        <v>0</v>
      </c>
      <c r="N15" s="41">
        <f t="shared" si="6"/>
        <v>1.4882581395348843E-2</v>
      </c>
      <c r="O15" s="42">
        <f>COUNTIF(Vertices[Eigenvector Centrality], "&gt;= " &amp; N15) - COUNTIF(Vertices[Eigenvector Centrality], "&gt;=" &amp; N16)</f>
        <v>0</v>
      </c>
      <c r="P15" s="41">
        <f t="shared" si="7"/>
        <v>3.2662615348837205</v>
      </c>
      <c r="Q15" s="42">
        <f>COUNTIF(Vertices[PageRank], "&gt;= " &amp; P15) - COUNTIF(Vertices[PageRank], "&gt;=" &amp; P16)</f>
        <v>0</v>
      </c>
      <c r="R15" s="41">
        <f t="shared" si="8"/>
        <v>0</v>
      </c>
      <c r="S15" s="46">
        <f>COUNTIF(Vertices[Clustering Coefficient], "&gt;= " &amp; R15) - COUNTIF(Vertices[Clustering Coefficient], "&gt;=" &amp; R16)</f>
        <v>0</v>
      </c>
      <c r="T15" s="41">
        <f t="shared" ca="1" si="9"/>
        <v>3085.330440077671</v>
      </c>
      <c r="U15" s="42">
        <f t="shared" ca="1" si="0"/>
        <v>0</v>
      </c>
    </row>
    <row r="16" spans="1:24" x14ac:dyDescent="0.45">
      <c r="A16" s="36" t="s">
        <v>153</v>
      </c>
      <c r="B16" s="36">
        <v>0</v>
      </c>
      <c r="D16" s="34">
        <f t="shared" si="1"/>
        <v>8.1627906976744189</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231.43410841860461</v>
      </c>
      <c r="K16" s="40">
        <f>COUNTIF(Vertices[Betweenness Centrality], "&gt;= " &amp; J16) - COUNTIF(Vertices[Betweenness Centrality], "&gt;=" &amp; J17)</f>
        <v>1</v>
      </c>
      <c r="L16" s="39">
        <f t="shared" si="5"/>
        <v>0.32851376744186039</v>
      </c>
      <c r="M16" s="40">
        <f>COUNTIF(Vertices[Closeness Centrality], "&gt;= " &amp; L16) - COUNTIF(Vertices[Closeness Centrality], "&gt;=" &amp; L17)</f>
        <v>2</v>
      </c>
      <c r="N16" s="39">
        <f t="shared" si="6"/>
        <v>1.6027395348837216E-2</v>
      </c>
      <c r="O16" s="40">
        <f>COUNTIF(Vertices[Eigenvector Centrality], "&gt;= " &amp; N16) - COUNTIF(Vertices[Eigenvector Centrality], "&gt;=" &amp; N17)</f>
        <v>0</v>
      </c>
      <c r="P16" s="39">
        <f t="shared" si="7"/>
        <v>3.4804268837209298</v>
      </c>
      <c r="Q16" s="40">
        <f>COUNTIF(Vertices[PageRank], "&gt;= " &amp; P16) - COUNTIF(Vertices[PageRank], "&gt;=" &amp; P17)</f>
        <v>0</v>
      </c>
      <c r="R16" s="39">
        <f t="shared" si="8"/>
        <v>0</v>
      </c>
      <c r="S16" s="45">
        <f>COUNTIF(Vertices[Clustering Coefficient], "&gt;= " &amp; R16) - COUNTIF(Vertices[Clustering Coefficient], "&gt;=" &amp; R17)</f>
        <v>0</v>
      </c>
      <c r="T16" s="39">
        <f t="shared" ca="1" si="9"/>
        <v>3310.7938069188322</v>
      </c>
      <c r="U16" s="40">
        <f t="shared" ca="1" si="0"/>
        <v>1</v>
      </c>
    </row>
    <row r="17" spans="1:21" x14ac:dyDescent="0.45">
      <c r="A17" s="36" t="s">
        <v>154</v>
      </c>
      <c r="B17" s="36">
        <v>48</v>
      </c>
      <c r="D17" s="34">
        <f t="shared" si="1"/>
        <v>8.6744186046511622</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247.96511616279065</v>
      </c>
      <c r="K17" s="42">
        <f>COUNTIF(Vertices[Betweenness Centrality], "&gt;= " &amp; J17) - COUNTIF(Vertices[Betweenness Centrality], "&gt;=" &amp; J18)</f>
        <v>0</v>
      </c>
      <c r="L17" s="41">
        <f t="shared" si="5"/>
        <v>0.35166846511627897</v>
      </c>
      <c r="M17" s="42">
        <f>COUNTIF(Vertices[Closeness Centrality], "&gt;= " &amp; L17) - COUNTIF(Vertices[Closeness Centrality], "&gt;=" &amp; L18)</f>
        <v>0</v>
      </c>
      <c r="N17" s="41">
        <f t="shared" si="6"/>
        <v>1.7172209302325589E-2</v>
      </c>
      <c r="O17" s="42">
        <f>COUNTIF(Vertices[Eigenvector Centrality], "&gt;= " &amp; N17) - COUNTIF(Vertices[Eigenvector Centrality], "&gt;=" &amp; N18)</f>
        <v>1</v>
      </c>
      <c r="P17" s="41">
        <f t="shared" si="7"/>
        <v>3.6945922325581391</v>
      </c>
      <c r="Q17" s="42">
        <f>COUNTIF(Vertices[PageRank], "&gt;= " &amp; P17) - COUNTIF(Vertices[PageRank], "&gt;=" &amp; P18)</f>
        <v>0</v>
      </c>
      <c r="R17" s="41">
        <f t="shared" si="8"/>
        <v>0</v>
      </c>
      <c r="S17" s="46">
        <f>COUNTIF(Vertices[Clustering Coefficient], "&gt;= " &amp; R17) - COUNTIF(Vertices[Clustering Coefficient], "&gt;=" &amp; R18)</f>
        <v>0</v>
      </c>
      <c r="T17" s="41">
        <f t="shared" ca="1" si="9"/>
        <v>3536.2571737599933</v>
      </c>
      <c r="U17" s="42">
        <f t="shared" ca="1" si="0"/>
        <v>2</v>
      </c>
    </row>
    <row r="18" spans="1:21" x14ac:dyDescent="0.45">
      <c r="A18" s="36" t="s">
        <v>155</v>
      </c>
      <c r="B18" s="36">
        <v>55</v>
      </c>
      <c r="D18" s="34">
        <f t="shared" si="1"/>
        <v>9.1860465116279073</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264.49612390697672</v>
      </c>
      <c r="K18" s="40">
        <f>COUNTIF(Vertices[Betweenness Centrality], "&gt;= " &amp; J18) - COUNTIF(Vertices[Betweenness Centrality], "&gt;=" &amp; J19)</f>
        <v>0</v>
      </c>
      <c r="L18" s="39">
        <f t="shared" si="5"/>
        <v>0.37482316279069755</v>
      </c>
      <c r="M18" s="40">
        <f>COUNTIF(Vertices[Closeness Centrality], "&gt;= " &amp; L18) - COUNTIF(Vertices[Closeness Centrality], "&gt;=" &amp; L19)</f>
        <v>0</v>
      </c>
      <c r="N18" s="39">
        <f t="shared" si="6"/>
        <v>1.8317023255813962E-2</v>
      </c>
      <c r="O18" s="40">
        <f>COUNTIF(Vertices[Eigenvector Centrality], "&gt;= " &amp; N18) - COUNTIF(Vertices[Eigenvector Centrality], "&gt;=" &amp; N19)</f>
        <v>0</v>
      </c>
      <c r="P18" s="39">
        <f t="shared" si="7"/>
        <v>3.9087575813953483</v>
      </c>
      <c r="Q18" s="40">
        <f>COUNTIF(Vertices[PageRank], "&gt;= " &amp; P18) - COUNTIF(Vertices[PageRank], "&gt;=" &amp; P19)</f>
        <v>0</v>
      </c>
      <c r="R18" s="39">
        <f t="shared" si="8"/>
        <v>0</v>
      </c>
      <c r="S18" s="45">
        <f>COUNTIF(Vertices[Clustering Coefficient], "&gt;= " &amp; R18) - COUNTIF(Vertices[Clustering Coefficient], "&gt;=" &amp; R19)</f>
        <v>0</v>
      </c>
      <c r="T18" s="39">
        <f t="shared" ca="1" si="9"/>
        <v>3761.7205406011544</v>
      </c>
      <c r="U18" s="40">
        <f t="shared" ca="1" si="0"/>
        <v>0</v>
      </c>
    </row>
    <row r="19" spans="1:21" x14ac:dyDescent="0.45">
      <c r="A19" s="101"/>
      <c r="B19" s="101"/>
      <c r="D19" s="34">
        <f t="shared" si="1"/>
        <v>9.6976744186046524</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281.02713165116279</v>
      </c>
      <c r="K19" s="42">
        <f>COUNTIF(Vertices[Betweenness Centrality], "&gt;= " &amp; J19) - COUNTIF(Vertices[Betweenness Centrality], "&gt;=" &amp; J20)</f>
        <v>0</v>
      </c>
      <c r="L19" s="41">
        <f t="shared" si="5"/>
        <v>0.39797786046511613</v>
      </c>
      <c r="M19" s="42">
        <f>COUNTIF(Vertices[Closeness Centrality], "&gt;= " &amp; L19) - COUNTIF(Vertices[Closeness Centrality], "&gt;=" &amp; L20)</f>
        <v>0</v>
      </c>
      <c r="N19" s="41">
        <f t="shared" si="6"/>
        <v>1.9461837209302335E-2</v>
      </c>
      <c r="O19" s="42">
        <f>COUNTIF(Vertices[Eigenvector Centrality], "&gt;= " &amp; N19) - COUNTIF(Vertices[Eigenvector Centrality], "&gt;=" &amp; N20)</f>
        <v>0</v>
      </c>
      <c r="P19" s="41">
        <f t="shared" si="7"/>
        <v>4.1229229302325576</v>
      </c>
      <c r="Q19" s="42">
        <f>COUNTIF(Vertices[PageRank], "&gt;= " &amp; P19) - COUNTIF(Vertices[PageRank], "&gt;=" &amp; P20)</f>
        <v>0</v>
      </c>
      <c r="R19" s="41">
        <f t="shared" si="8"/>
        <v>0</v>
      </c>
      <c r="S19" s="46">
        <f>COUNTIF(Vertices[Clustering Coefficient], "&gt;= " &amp; R19) - COUNTIF(Vertices[Clustering Coefficient], "&gt;=" &amp; R20)</f>
        <v>0</v>
      </c>
      <c r="T19" s="41">
        <f t="shared" ca="1" si="9"/>
        <v>3987.1839074423156</v>
      </c>
      <c r="U19" s="42">
        <f t="shared" ca="1" si="0"/>
        <v>2</v>
      </c>
    </row>
    <row r="20" spans="1:21" x14ac:dyDescent="0.45">
      <c r="A20" s="36" t="s">
        <v>156</v>
      </c>
      <c r="B20" s="36">
        <v>6</v>
      </c>
      <c r="D20" s="34">
        <f t="shared" si="1"/>
        <v>10.209302325581397</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297.55813939534886</v>
      </c>
      <c r="K20" s="40">
        <f>COUNTIF(Vertices[Betweenness Centrality], "&gt;= " &amp; J20) - COUNTIF(Vertices[Betweenness Centrality], "&gt;=" &amp; J21)</f>
        <v>0</v>
      </c>
      <c r="L20" s="39">
        <f t="shared" si="5"/>
        <v>0.42113255813953471</v>
      </c>
      <c r="M20" s="40">
        <f>COUNTIF(Vertices[Closeness Centrality], "&gt;= " &amp; L20) - COUNTIF(Vertices[Closeness Centrality], "&gt;=" &amp; L21)</f>
        <v>0</v>
      </c>
      <c r="N20" s="39">
        <f t="shared" si="6"/>
        <v>2.0606651162790708E-2</v>
      </c>
      <c r="O20" s="40">
        <f>COUNTIF(Vertices[Eigenvector Centrality], "&gt;= " &amp; N20) - COUNTIF(Vertices[Eigenvector Centrality], "&gt;=" &amp; N21)</f>
        <v>0</v>
      </c>
      <c r="P20" s="39">
        <f t="shared" si="7"/>
        <v>4.3370882790697669</v>
      </c>
      <c r="Q20" s="40">
        <f>COUNTIF(Vertices[PageRank], "&gt;= " &amp; P20) - COUNTIF(Vertices[PageRank], "&gt;=" &amp; P21)</f>
        <v>1</v>
      </c>
      <c r="R20" s="39">
        <f t="shared" si="8"/>
        <v>0</v>
      </c>
      <c r="S20" s="45">
        <f>COUNTIF(Vertices[Clustering Coefficient], "&gt;= " &amp; R20) - COUNTIF(Vertices[Clustering Coefficient], "&gt;=" &amp; R21)</f>
        <v>0</v>
      </c>
      <c r="T20" s="39">
        <f t="shared" ca="1" si="9"/>
        <v>4212.6472742834767</v>
      </c>
      <c r="U20" s="40">
        <f t="shared" ca="1" si="0"/>
        <v>0</v>
      </c>
    </row>
    <row r="21" spans="1:21" x14ac:dyDescent="0.45">
      <c r="A21" s="36" t="s">
        <v>157</v>
      </c>
      <c r="B21" s="36">
        <v>3.1819350000000002</v>
      </c>
      <c r="D21" s="34">
        <f t="shared" si="1"/>
        <v>10.720930232558143</v>
      </c>
      <c r="E21" s="3">
        <f>COUNTIF(Vertices[Degree], "&gt;= " &amp; D21) - COUNTIF(Vertices[Degree], "&gt;=" &amp; D22)</f>
        <v>1</v>
      </c>
      <c r="F21" s="41">
        <f t="shared" si="2"/>
        <v>0</v>
      </c>
      <c r="G21" s="42">
        <f>COUNTIF(Vertices[In-Degree], "&gt;= " &amp; F21) - COUNTIF(Vertices[In-Degree], "&gt;=" &amp; F22)</f>
        <v>0</v>
      </c>
      <c r="H21" s="41">
        <f t="shared" si="3"/>
        <v>0</v>
      </c>
      <c r="I21" s="42">
        <f>COUNTIF(Vertices[Out-Degree], "&gt;= " &amp; H21) - COUNTIF(Vertices[Out-Degree], "&gt;=" &amp; H22)</f>
        <v>0</v>
      </c>
      <c r="J21" s="41">
        <f t="shared" si="4"/>
        <v>314.08914713953493</v>
      </c>
      <c r="K21" s="42">
        <f>COUNTIF(Vertices[Betweenness Centrality], "&gt;= " &amp; J21) - COUNTIF(Vertices[Betweenness Centrality], "&gt;=" &amp; J22)</f>
        <v>0</v>
      </c>
      <c r="L21" s="41">
        <f t="shared" si="5"/>
        <v>0.44428725581395329</v>
      </c>
      <c r="M21" s="42">
        <f>COUNTIF(Vertices[Closeness Centrality], "&gt;= " &amp; L21) - COUNTIF(Vertices[Closeness Centrality], "&gt;=" &amp; L22)</f>
        <v>0</v>
      </c>
      <c r="N21" s="41">
        <f t="shared" si="6"/>
        <v>2.1751465116279081E-2</v>
      </c>
      <c r="O21" s="42">
        <f>COUNTIF(Vertices[Eigenvector Centrality], "&gt;= " &amp; N21) - COUNTIF(Vertices[Eigenvector Centrality], "&gt;=" &amp; N22)</f>
        <v>0</v>
      </c>
      <c r="P21" s="41">
        <f t="shared" si="7"/>
        <v>4.5512536279069762</v>
      </c>
      <c r="Q21" s="42">
        <f>COUNTIF(Vertices[PageRank], "&gt;= " &amp; P21) - COUNTIF(Vertices[PageRank], "&gt;=" &amp; P22)</f>
        <v>0</v>
      </c>
      <c r="R21" s="41">
        <f t="shared" si="8"/>
        <v>0</v>
      </c>
      <c r="S21" s="46">
        <f>COUNTIF(Vertices[Clustering Coefficient], "&gt;= " &amp; R21) - COUNTIF(Vertices[Clustering Coefficient], "&gt;=" &amp; R22)</f>
        <v>0</v>
      </c>
      <c r="T21" s="41">
        <f t="shared" ca="1" si="9"/>
        <v>4438.1106411246374</v>
      </c>
      <c r="U21" s="42">
        <f t="shared" ca="1" si="0"/>
        <v>2</v>
      </c>
    </row>
    <row r="22" spans="1:21" x14ac:dyDescent="0.45">
      <c r="A22" s="101"/>
      <c r="B22" s="101"/>
      <c r="D22" s="34">
        <f t="shared" si="1"/>
        <v>11.232558139534888</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330.620154883721</v>
      </c>
      <c r="K22" s="40">
        <f>COUNTIF(Vertices[Betweenness Centrality], "&gt;= " &amp; J22) - COUNTIF(Vertices[Betweenness Centrality], "&gt;=" &amp; J23)</f>
        <v>0</v>
      </c>
      <c r="L22" s="39">
        <f t="shared" si="5"/>
        <v>0.46744195348837186</v>
      </c>
      <c r="M22" s="40">
        <f>COUNTIF(Vertices[Closeness Centrality], "&gt;= " &amp; L22) - COUNTIF(Vertices[Closeness Centrality], "&gt;=" &amp; L23)</f>
        <v>0</v>
      </c>
      <c r="N22" s="39">
        <f t="shared" si="6"/>
        <v>2.2896279069767454E-2</v>
      </c>
      <c r="O22" s="40">
        <f>COUNTIF(Vertices[Eigenvector Centrality], "&gt;= " &amp; N22) - COUNTIF(Vertices[Eigenvector Centrality], "&gt;=" &amp; N23)</f>
        <v>0</v>
      </c>
      <c r="P22" s="39">
        <f t="shared" si="7"/>
        <v>4.7654189767441855</v>
      </c>
      <c r="Q22" s="40">
        <f>COUNTIF(Vertices[PageRank], "&gt;= " &amp; P22) - COUNTIF(Vertices[PageRank], "&gt;=" &amp; P23)</f>
        <v>0</v>
      </c>
      <c r="R22" s="39">
        <f t="shared" si="8"/>
        <v>0</v>
      </c>
      <c r="S22" s="45">
        <f>COUNTIF(Vertices[Clustering Coefficient], "&gt;= " &amp; R22) - COUNTIF(Vertices[Clustering Coefficient], "&gt;=" &amp; R23)</f>
        <v>0</v>
      </c>
      <c r="T22" s="39">
        <f t="shared" ca="1" si="9"/>
        <v>4663.574007965798</v>
      </c>
      <c r="U22" s="40">
        <f t="shared" ca="1" si="0"/>
        <v>2</v>
      </c>
    </row>
    <row r="23" spans="1:21" x14ac:dyDescent="0.45">
      <c r="A23" s="36" t="s">
        <v>158</v>
      </c>
      <c r="B23" s="36">
        <v>3.6967418546365913E-2</v>
      </c>
      <c r="D23" s="34">
        <f t="shared" si="1"/>
        <v>11.744186046511633</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347.15116262790707</v>
      </c>
      <c r="K23" s="42">
        <f>COUNTIF(Vertices[Betweenness Centrality], "&gt;= " &amp; J23) - COUNTIF(Vertices[Betweenness Centrality], "&gt;=" &amp; J24)</f>
        <v>0</v>
      </c>
      <c r="L23" s="41">
        <f t="shared" si="5"/>
        <v>0.49059665116279044</v>
      </c>
      <c r="M23" s="42">
        <f>COUNTIF(Vertices[Closeness Centrality], "&gt;= " &amp; L23) - COUNTIF(Vertices[Closeness Centrality], "&gt;=" &amp; L24)</f>
        <v>1</v>
      </c>
      <c r="N23" s="41">
        <f t="shared" si="6"/>
        <v>2.4041093023255827E-2</v>
      </c>
      <c r="O23" s="42">
        <f>COUNTIF(Vertices[Eigenvector Centrality], "&gt;= " &amp; N23) - COUNTIF(Vertices[Eigenvector Centrality], "&gt;=" &amp; N24)</f>
        <v>0</v>
      </c>
      <c r="P23" s="41">
        <f t="shared" si="7"/>
        <v>4.9795843255813947</v>
      </c>
      <c r="Q23" s="42">
        <f>COUNTIF(Vertices[PageRank], "&gt;= " &amp; P23) - COUNTIF(Vertices[PageRank], "&gt;=" &amp; P24)</f>
        <v>0</v>
      </c>
      <c r="R23" s="41">
        <f t="shared" si="8"/>
        <v>0</v>
      </c>
      <c r="S23" s="46">
        <f>COUNTIF(Vertices[Clustering Coefficient], "&gt;= " &amp; R23) - COUNTIF(Vertices[Clustering Coefficient], "&gt;=" &amp; R24)</f>
        <v>0</v>
      </c>
      <c r="T23" s="41">
        <f t="shared" ca="1" si="9"/>
        <v>4889.0373748069587</v>
      </c>
      <c r="U23" s="42">
        <f t="shared" ca="1" si="0"/>
        <v>2</v>
      </c>
    </row>
    <row r="24" spans="1:21" x14ac:dyDescent="0.45">
      <c r="A24" s="36" t="s">
        <v>241</v>
      </c>
      <c r="B24" s="36" t="s">
        <v>243</v>
      </c>
      <c r="D24" s="34">
        <f t="shared" si="1"/>
        <v>12.255813953488378</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363.68217037209314</v>
      </c>
      <c r="K24" s="40">
        <f>COUNTIF(Vertices[Betweenness Centrality], "&gt;= " &amp; J24) - COUNTIF(Vertices[Betweenness Centrality], "&gt;=" &amp; J25)</f>
        <v>0</v>
      </c>
      <c r="L24" s="39">
        <f t="shared" si="5"/>
        <v>0.51375134883720908</v>
      </c>
      <c r="M24" s="40">
        <f>COUNTIF(Vertices[Closeness Centrality], "&gt;= " &amp; L24) - COUNTIF(Vertices[Closeness Centrality], "&gt;=" &amp; L25)</f>
        <v>0</v>
      </c>
      <c r="N24" s="39">
        <f t="shared" si="6"/>
        <v>2.51859069767442E-2</v>
      </c>
      <c r="O24" s="40">
        <f>COUNTIF(Vertices[Eigenvector Centrality], "&gt;= " &amp; N24) - COUNTIF(Vertices[Eigenvector Centrality], "&gt;=" &amp; N25)</f>
        <v>0</v>
      </c>
      <c r="P24" s="39">
        <f t="shared" si="7"/>
        <v>5.193749674418604</v>
      </c>
      <c r="Q24" s="40">
        <f>COUNTIF(Vertices[PageRank], "&gt;= " &amp; P24) - COUNTIF(Vertices[PageRank], "&gt;=" &amp; P25)</f>
        <v>0</v>
      </c>
      <c r="R24" s="39">
        <f t="shared" si="8"/>
        <v>0</v>
      </c>
      <c r="S24" s="45">
        <f>COUNTIF(Vertices[Clustering Coefficient], "&gt;= " &amp; R24) - COUNTIF(Vertices[Clustering Coefficient], "&gt;=" &amp; R25)</f>
        <v>0</v>
      </c>
      <c r="T24" s="39">
        <f t="shared" ca="1" si="9"/>
        <v>5114.5007416481194</v>
      </c>
      <c r="U24" s="40">
        <f t="shared" ca="1" si="0"/>
        <v>0</v>
      </c>
    </row>
    <row r="25" spans="1:21" x14ac:dyDescent="0.45">
      <c r="A25" s="101"/>
      <c r="B25" s="101"/>
      <c r="D25" s="34">
        <f t="shared" si="1"/>
        <v>12.767441860465123</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380.21317811627921</v>
      </c>
      <c r="K25" s="42">
        <f>COUNTIF(Vertices[Betweenness Centrality], "&gt;= " &amp; J25) - COUNTIF(Vertices[Betweenness Centrality], "&gt;=" &amp; J26)</f>
        <v>0</v>
      </c>
      <c r="L25" s="41">
        <f t="shared" si="5"/>
        <v>0.53690604651162765</v>
      </c>
      <c r="M25" s="42">
        <f>COUNTIF(Vertices[Closeness Centrality], "&gt;= " &amp; L25) - COUNTIF(Vertices[Closeness Centrality], "&gt;=" &amp; L26)</f>
        <v>0</v>
      </c>
      <c r="N25" s="41">
        <f t="shared" si="6"/>
        <v>2.6330720930232573E-2</v>
      </c>
      <c r="O25" s="42">
        <f>COUNTIF(Vertices[Eigenvector Centrality], "&gt;= " &amp; N25) - COUNTIF(Vertices[Eigenvector Centrality], "&gt;=" &amp; N26)</f>
        <v>0</v>
      </c>
      <c r="P25" s="41">
        <f t="shared" si="7"/>
        <v>5.4079150232558133</v>
      </c>
      <c r="Q25" s="42">
        <f>COUNTIF(Vertices[PageRank], "&gt;= " &amp; P25) - COUNTIF(Vertices[PageRank], "&gt;=" &amp; P26)</f>
        <v>0</v>
      </c>
      <c r="R25" s="41">
        <f t="shared" si="8"/>
        <v>0</v>
      </c>
      <c r="S25" s="46">
        <f>COUNTIF(Vertices[Clustering Coefficient], "&gt;= " &amp; R25) - COUNTIF(Vertices[Clustering Coefficient], "&gt;=" &amp; R26)</f>
        <v>0</v>
      </c>
      <c r="T25" s="41">
        <f t="shared" ca="1" si="9"/>
        <v>5339.9641084892801</v>
      </c>
      <c r="U25" s="42">
        <f t="shared" ca="1" si="0"/>
        <v>0</v>
      </c>
    </row>
    <row r="26" spans="1:21" x14ac:dyDescent="0.45">
      <c r="A26" s="36" t="s">
        <v>242</v>
      </c>
      <c r="B26" s="36" t="s">
        <v>244</v>
      </c>
      <c r="D26" s="34">
        <f t="shared" si="1"/>
        <v>13.279069767441868</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396.74418586046528</v>
      </c>
      <c r="K26" s="40">
        <f>COUNTIF(Vertices[Betweenness Centrality], "&gt;= " &amp; J26) - COUNTIF(Vertices[Betweenness Centrality], "&gt;=" &amp; J27)</f>
        <v>1</v>
      </c>
      <c r="L26" s="39">
        <f t="shared" si="5"/>
        <v>0.56006074418604623</v>
      </c>
      <c r="M26" s="40">
        <f>COUNTIF(Vertices[Closeness Centrality], "&gt;= " &amp; L26) - COUNTIF(Vertices[Closeness Centrality], "&gt;=" &amp; L27)</f>
        <v>0</v>
      </c>
      <c r="N26" s="39">
        <f t="shared" si="6"/>
        <v>2.7475534883720946E-2</v>
      </c>
      <c r="O26" s="40">
        <f>COUNTIF(Vertices[Eigenvector Centrality], "&gt;= " &amp; N26) - COUNTIF(Vertices[Eigenvector Centrality], "&gt;=" &amp; N27)</f>
        <v>0</v>
      </c>
      <c r="P26" s="39">
        <f t="shared" si="7"/>
        <v>5.6220803720930226</v>
      </c>
      <c r="Q26" s="40">
        <f>COUNTIF(Vertices[PageRank], "&gt;= " &amp; P26) - COUNTIF(Vertices[PageRank], "&gt;=" &amp; P27)</f>
        <v>0</v>
      </c>
      <c r="R26" s="39">
        <f t="shared" si="8"/>
        <v>0</v>
      </c>
      <c r="S26" s="45">
        <f>COUNTIF(Vertices[Clustering Coefficient], "&gt;= " &amp; R26) - COUNTIF(Vertices[Clustering Coefficient], "&gt;=" &amp; R27)</f>
        <v>0</v>
      </c>
      <c r="T26" s="39">
        <f t="shared" ca="1" si="9"/>
        <v>5565.4274753304408</v>
      </c>
      <c r="U26" s="40">
        <f t="shared" ca="1" si="0"/>
        <v>1</v>
      </c>
    </row>
    <row r="27" spans="1:21" x14ac:dyDescent="0.45">
      <c r="D27" s="34">
        <f t="shared" si="1"/>
        <v>13.790697674418613</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413.27519360465135</v>
      </c>
      <c r="K27" s="42">
        <f>COUNTIF(Vertices[Betweenness Centrality], "&gt;= " &amp; J27) - COUNTIF(Vertices[Betweenness Centrality], "&gt;=" &amp; J28)</f>
        <v>0</v>
      </c>
      <c r="L27" s="41">
        <f t="shared" si="5"/>
        <v>0.58321544186046481</v>
      </c>
      <c r="M27" s="42">
        <f>COUNTIF(Vertices[Closeness Centrality], "&gt;= " &amp; L27) - COUNTIF(Vertices[Closeness Centrality], "&gt;=" &amp; L28)</f>
        <v>0</v>
      </c>
      <c r="N27" s="41">
        <f t="shared" si="6"/>
        <v>2.862034883720932E-2</v>
      </c>
      <c r="O27" s="42">
        <f>COUNTIF(Vertices[Eigenvector Centrality], "&gt;= " &amp; N27) - COUNTIF(Vertices[Eigenvector Centrality], "&gt;=" &amp; N28)</f>
        <v>0</v>
      </c>
      <c r="P27" s="41">
        <f t="shared" si="7"/>
        <v>5.8362457209302319</v>
      </c>
      <c r="Q27" s="42">
        <f>COUNTIF(Vertices[PageRank], "&gt;= " &amp; P27) - COUNTIF(Vertices[PageRank], "&gt;=" &amp; P28)</f>
        <v>0</v>
      </c>
      <c r="R27" s="41">
        <f t="shared" si="8"/>
        <v>0</v>
      </c>
      <c r="S27" s="46">
        <f>COUNTIF(Vertices[Clustering Coefficient], "&gt;= " &amp; R27) - COUNTIF(Vertices[Clustering Coefficient], "&gt;=" &amp; R28)</f>
        <v>0</v>
      </c>
      <c r="T27" s="41">
        <f t="shared" ca="1" si="9"/>
        <v>5790.8908421716014</v>
      </c>
      <c r="U27" s="42">
        <f t="shared" ca="1" si="0"/>
        <v>8</v>
      </c>
    </row>
    <row r="28" spans="1:21" x14ac:dyDescent="0.45">
      <c r="D28" s="34">
        <f t="shared" si="1"/>
        <v>14.302325581395358</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429.80620134883742</v>
      </c>
      <c r="K28" s="40">
        <f>COUNTIF(Vertices[Betweenness Centrality], "&gt;= " &amp; J28) - COUNTIF(Vertices[Betweenness Centrality], "&gt;=" &amp; J29)</f>
        <v>0</v>
      </c>
      <c r="L28" s="39">
        <f t="shared" si="5"/>
        <v>0.60637013953488339</v>
      </c>
      <c r="M28" s="40">
        <f>COUNTIF(Vertices[Closeness Centrality], "&gt;= " &amp; L28) - COUNTIF(Vertices[Closeness Centrality], "&gt;=" &amp; L29)</f>
        <v>0</v>
      </c>
      <c r="N28" s="39">
        <f t="shared" si="6"/>
        <v>2.9765162790697693E-2</v>
      </c>
      <c r="O28" s="40">
        <f>COUNTIF(Vertices[Eigenvector Centrality], "&gt;= " &amp; N28) - COUNTIF(Vertices[Eigenvector Centrality], "&gt;=" &amp; N29)</f>
        <v>0</v>
      </c>
      <c r="P28" s="39">
        <f t="shared" si="7"/>
        <v>6.0504110697674411</v>
      </c>
      <c r="Q28" s="40">
        <f>COUNTIF(Vertices[PageRank], "&gt;= " &amp; P28) - COUNTIF(Vertices[PageRank], "&gt;=" &amp; P29)</f>
        <v>0</v>
      </c>
      <c r="R28" s="39">
        <f t="shared" si="8"/>
        <v>0</v>
      </c>
      <c r="S28" s="45">
        <f>COUNTIF(Vertices[Clustering Coefficient], "&gt;= " &amp; R28) - COUNTIF(Vertices[Clustering Coefficient], "&gt;=" &amp; R29)</f>
        <v>0</v>
      </c>
      <c r="T28" s="39">
        <f t="shared" ca="1" si="9"/>
        <v>6016.3542090127621</v>
      </c>
      <c r="U28" s="40">
        <f t="shared" ca="1" si="0"/>
        <v>2</v>
      </c>
    </row>
    <row r="29" spans="1:21" x14ac:dyDescent="0.45">
      <c r="A29" t="s">
        <v>163</v>
      </c>
      <c r="B29" t="s">
        <v>17</v>
      </c>
      <c r="D29" s="34">
        <f t="shared" si="1"/>
        <v>14.813953488372103</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446.33720909302349</v>
      </c>
      <c r="K29" s="42">
        <f>COUNTIF(Vertices[Betweenness Centrality], "&gt;= " &amp; J29) - COUNTIF(Vertices[Betweenness Centrality], "&gt;=" &amp; J30)</f>
        <v>0</v>
      </c>
      <c r="L29" s="41">
        <f t="shared" si="5"/>
        <v>0.62952483720930197</v>
      </c>
      <c r="M29" s="42">
        <f>COUNTIF(Vertices[Closeness Centrality], "&gt;= " &amp; L29) - COUNTIF(Vertices[Closeness Centrality], "&gt;=" &amp; L30)</f>
        <v>0</v>
      </c>
      <c r="N29" s="41">
        <f t="shared" si="6"/>
        <v>3.0909976744186066E-2</v>
      </c>
      <c r="O29" s="42">
        <f>COUNTIF(Vertices[Eigenvector Centrality], "&gt;= " &amp; N29) - COUNTIF(Vertices[Eigenvector Centrality], "&gt;=" &amp; N30)</f>
        <v>0</v>
      </c>
      <c r="P29" s="41">
        <f t="shared" si="7"/>
        <v>6.2645764186046504</v>
      </c>
      <c r="Q29" s="42">
        <f>COUNTIF(Vertices[PageRank], "&gt;= " &amp; P29) - COUNTIF(Vertices[PageRank], "&gt;=" &amp; P30)</f>
        <v>0</v>
      </c>
      <c r="R29" s="41">
        <f t="shared" si="8"/>
        <v>0</v>
      </c>
      <c r="S29" s="46">
        <f>COUNTIF(Vertices[Clustering Coefficient], "&gt;= " &amp; R29) - COUNTIF(Vertices[Clustering Coefficient], "&gt;=" &amp; R30)</f>
        <v>0</v>
      </c>
      <c r="T29" s="41">
        <f t="shared" ca="1" si="9"/>
        <v>6241.8175758539228</v>
      </c>
      <c r="U29" s="42">
        <f t="shared" ca="1" si="0"/>
        <v>1</v>
      </c>
    </row>
    <row r="30" spans="1:21" x14ac:dyDescent="0.45">
      <c r="A30" s="35"/>
      <c r="B30" s="35"/>
      <c r="D30" s="34">
        <f t="shared" si="1"/>
        <v>15.325581395348848</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462.86821683720956</v>
      </c>
      <c r="K30" s="40">
        <f>COUNTIF(Vertices[Betweenness Centrality], "&gt;= " &amp; J30) - COUNTIF(Vertices[Betweenness Centrality], "&gt;=" &amp; J31)</f>
        <v>0</v>
      </c>
      <c r="L30" s="39">
        <f t="shared" si="5"/>
        <v>0.65267953488372055</v>
      </c>
      <c r="M30" s="40">
        <f>COUNTIF(Vertices[Closeness Centrality], "&gt;= " &amp; L30) - COUNTIF(Vertices[Closeness Centrality], "&gt;=" &amp; L31)</f>
        <v>0</v>
      </c>
      <c r="N30" s="39">
        <f t="shared" si="6"/>
        <v>3.2054790697674439E-2</v>
      </c>
      <c r="O30" s="40">
        <f>COUNTIF(Vertices[Eigenvector Centrality], "&gt;= " &amp; N30) - COUNTIF(Vertices[Eigenvector Centrality], "&gt;=" &amp; N31)</f>
        <v>0</v>
      </c>
      <c r="P30" s="39">
        <f t="shared" si="7"/>
        <v>6.4787417674418597</v>
      </c>
      <c r="Q30" s="40">
        <f>COUNTIF(Vertices[PageRank], "&gt;= " &amp; P30) - COUNTIF(Vertices[PageRank], "&gt;=" &amp; P31)</f>
        <v>0</v>
      </c>
      <c r="R30" s="39">
        <f t="shared" si="8"/>
        <v>0</v>
      </c>
      <c r="S30" s="45">
        <f>COUNTIF(Vertices[Clustering Coefficient], "&gt;= " &amp; R30) - COUNTIF(Vertices[Clustering Coefficient], "&gt;=" &amp; R31)</f>
        <v>0</v>
      </c>
      <c r="T30" s="39">
        <f t="shared" ca="1" si="9"/>
        <v>6467.2809426950835</v>
      </c>
      <c r="U30" s="40">
        <f t="shared" ca="1" si="0"/>
        <v>1</v>
      </c>
    </row>
    <row r="31" spans="1:21" x14ac:dyDescent="0.45">
      <c r="D31" s="34">
        <f t="shared" si="1"/>
        <v>15.837209302325594</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479.39922458139563</v>
      </c>
      <c r="K31" s="42">
        <f>COUNTIF(Vertices[Betweenness Centrality], "&gt;= " &amp; J31) - COUNTIF(Vertices[Betweenness Centrality], "&gt;=" &amp; J32)</f>
        <v>0</v>
      </c>
      <c r="L31" s="41">
        <f t="shared" si="5"/>
        <v>0.67583423255813913</v>
      </c>
      <c r="M31" s="42">
        <f>COUNTIF(Vertices[Closeness Centrality], "&gt;= " &amp; L31) - COUNTIF(Vertices[Closeness Centrality], "&gt;=" &amp; L32)</f>
        <v>0</v>
      </c>
      <c r="N31" s="41">
        <f t="shared" si="6"/>
        <v>3.3199604651162812E-2</v>
      </c>
      <c r="O31" s="42">
        <f>COUNTIF(Vertices[Eigenvector Centrality], "&gt;= " &amp; N31) - COUNTIF(Vertices[Eigenvector Centrality], "&gt;=" &amp; N32)</f>
        <v>18</v>
      </c>
      <c r="P31" s="41">
        <f t="shared" si="7"/>
        <v>6.692907116279069</v>
      </c>
      <c r="Q31" s="42">
        <f>COUNTIF(Vertices[PageRank], "&gt;= " &amp; P31) - COUNTIF(Vertices[PageRank], "&gt;=" &amp; P32)</f>
        <v>0</v>
      </c>
      <c r="R31" s="41">
        <f t="shared" si="8"/>
        <v>0</v>
      </c>
      <c r="S31" s="46">
        <f>COUNTIF(Vertices[Clustering Coefficient], "&gt;= " &amp; R31) - COUNTIF(Vertices[Clustering Coefficient], "&gt;=" &amp; R32)</f>
        <v>0</v>
      </c>
      <c r="T31" s="41">
        <f t="shared" ca="1" si="9"/>
        <v>6692.7443095362441</v>
      </c>
      <c r="U31" s="42">
        <f t="shared" ca="1" si="0"/>
        <v>8</v>
      </c>
    </row>
    <row r="32" spans="1:21" x14ac:dyDescent="0.45">
      <c r="D32" s="34">
        <f t="shared" si="1"/>
        <v>16.348837209302339</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495.9302323255817</v>
      </c>
      <c r="K32" s="40">
        <f>COUNTIF(Vertices[Betweenness Centrality], "&gt;= " &amp; J32) - COUNTIF(Vertices[Betweenness Centrality], "&gt;=" &amp; J33)</f>
        <v>0</v>
      </c>
      <c r="L32" s="39">
        <f t="shared" si="5"/>
        <v>0.6989889302325577</v>
      </c>
      <c r="M32" s="40">
        <f>COUNTIF(Vertices[Closeness Centrality], "&gt;= " &amp; L32) - COUNTIF(Vertices[Closeness Centrality], "&gt;=" &amp; L33)</f>
        <v>0</v>
      </c>
      <c r="N32" s="39">
        <f t="shared" si="6"/>
        <v>3.4344418604651185E-2</v>
      </c>
      <c r="O32" s="40">
        <f>COUNTIF(Vertices[Eigenvector Centrality], "&gt;= " &amp; N32) - COUNTIF(Vertices[Eigenvector Centrality], "&gt;=" &amp; N33)</f>
        <v>0</v>
      </c>
      <c r="P32" s="39">
        <f t="shared" si="7"/>
        <v>6.9070724651162783</v>
      </c>
      <c r="Q32" s="40">
        <f>COUNTIF(Vertices[PageRank], "&gt;= " &amp; P32) - COUNTIF(Vertices[PageRank], "&gt;=" &amp; P33)</f>
        <v>0</v>
      </c>
      <c r="R32" s="39">
        <f t="shared" si="8"/>
        <v>0</v>
      </c>
      <c r="S32" s="45">
        <f>COUNTIF(Vertices[Clustering Coefficient], "&gt;= " &amp; R32) - COUNTIF(Vertices[Clustering Coefficient], "&gt;=" &amp; R33)</f>
        <v>0</v>
      </c>
      <c r="T32" s="39">
        <f t="shared" ca="1" si="9"/>
        <v>6918.2076763774048</v>
      </c>
      <c r="U32" s="40">
        <f t="shared" ca="1" si="0"/>
        <v>0</v>
      </c>
    </row>
    <row r="33" spans="1:21" x14ac:dyDescent="0.45">
      <c r="D33" s="34">
        <f t="shared" si="1"/>
        <v>16.860465116279084</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512.46124006976777</v>
      </c>
      <c r="K33" s="42">
        <f>COUNTIF(Vertices[Betweenness Centrality], "&gt;= " &amp; J33) - COUNTIF(Vertices[Betweenness Centrality], "&gt;=" &amp; J34)</f>
        <v>0</v>
      </c>
      <c r="L33" s="41">
        <f t="shared" si="5"/>
        <v>0.72214362790697628</v>
      </c>
      <c r="M33" s="42">
        <f>COUNTIF(Vertices[Closeness Centrality], "&gt;= " &amp; L33) - COUNTIF(Vertices[Closeness Centrality], "&gt;=" &amp; L34)</f>
        <v>0</v>
      </c>
      <c r="N33" s="41">
        <f t="shared" si="6"/>
        <v>3.5489232558139558E-2</v>
      </c>
      <c r="O33" s="42">
        <f>COUNTIF(Vertices[Eigenvector Centrality], "&gt;= " &amp; N33) - COUNTIF(Vertices[Eigenvector Centrality], "&gt;=" &amp; N34)</f>
        <v>0</v>
      </c>
      <c r="P33" s="41">
        <f t="shared" si="7"/>
        <v>7.1212378139534875</v>
      </c>
      <c r="Q33" s="42">
        <f>COUNTIF(Vertices[PageRank], "&gt;= " &amp; P33) - COUNTIF(Vertices[PageRank], "&gt;=" &amp; P34)</f>
        <v>0</v>
      </c>
      <c r="R33" s="41">
        <f t="shared" si="8"/>
        <v>0</v>
      </c>
      <c r="S33" s="46">
        <f>COUNTIF(Vertices[Clustering Coefficient], "&gt;= " &amp; R33) - COUNTIF(Vertices[Clustering Coefficient], "&gt;=" &amp; R34)</f>
        <v>0</v>
      </c>
      <c r="T33" s="41">
        <f t="shared" ca="1" si="9"/>
        <v>7143.6710432185655</v>
      </c>
      <c r="U33" s="42">
        <f t="shared" ca="1" si="0"/>
        <v>1</v>
      </c>
    </row>
    <row r="34" spans="1:21" x14ac:dyDescent="0.45">
      <c r="D34" s="34">
        <f t="shared" si="1"/>
        <v>17.372093023255829</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528.99224781395378</v>
      </c>
      <c r="K34" s="40">
        <f>COUNTIF(Vertices[Betweenness Centrality], "&gt;= " &amp; J34) - COUNTIF(Vertices[Betweenness Centrality], "&gt;=" &amp; J35)</f>
        <v>0</v>
      </c>
      <c r="L34" s="39">
        <f t="shared" si="5"/>
        <v>0.74529832558139486</v>
      </c>
      <c r="M34" s="40">
        <f>COUNTIF(Vertices[Closeness Centrality], "&gt;= " &amp; L34) - COUNTIF(Vertices[Closeness Centrality], "&gt;=" &amp; L35)</f>
        <v>0</v>
      </c>
      <c r="N34" s="39">
        <f t="shared" si="6"/>
        <v>3.6634046511627931E-2</v>
      </c>
      <c r="O34" s="40">
        <f>COUNTIF(Vertices[Eigenvector Centrality], "&gt;= " &amp; N34) - COUNTIF(Vertices[Eigenvector Centrality], "&gt;=" &amp; N35)</f>
        <v>0</v>
      </c>
      <c r="P34" s="39">
        <f t="shared" si="7"/>
        <v>7.3354031627906968</v>
      </c>
      <c r="Q34" s="40">
        <f>COUNTIF(Vertices[PageRank], "&gt;= " &amp; P34) - COUNTIF(Vertices[PageRank], "&gt;=" &amp; P35)</f>
        <v>0</v>
      </c>
      <c r="R34" s="39">
        <f t="shared" si="8"/>
        <v>0</v>
      </c>
      <c r="S34" s="45">
        <f>COUNTIF(Vertices[Clustering Coefficient], "&gt;= " &amp; R34) - COUNTIF(Vertices[Clustering Coefficient], "&gt;=" &amp; R35)</f>
        <v>0</v>
      </c>
      <c r="T34" s="39">
        <f t="shared" ca="1" si="9"/>
        <v>7369.1344100597262</v>
      </c>
      <c r="U34" s="40">
        <f t="shared" ca="1" si="0"/>
        <v>1</v>
      </c>
    </row>
    <row r="35" spans="1:21" x14ac:dyDescent="0.45">
      <c r="D35" s="34">
        <f t="shared" si="1"/>
        <v>17.883720930232574</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545.52325555813979</v>
      </c>
      <c r="K35" s="42">
        <f>COUNTIF(Vertices[Betweenness Centrality], "&gt;= " &amp; J35) - COUNTIF(Vertices[Betweenness Centrality], "&gt;=" &amp; J36)</f>
        <v>0</v>
      </c>
      <c r="L35" s="41">
        <f t="shared" si="5"/>
        <v>0.76845302325581344</v>
      </c>
      <c r="M35" s="42">
        <f>COUNTIF(Vertices[Closeness Centrality], "&gt;= " &amp; L35) - COUNTIF(Vertices[Closeness Centrality], "&gt;=" &amp; L36)</f>
        <v>0</v>
      </c>
      <c r="N35" s="41">
        <f t="shared" si="6"/>
        <v>3.7778860465116304E-2</v>
      </c>
      <c r="O35" s="42">
        <f>COUNTIF(Vertices[Eigenvector Centrality], "&gt;= " &amp; N35) - COUNTIF(Vertices[Eigenvector Centrality], "&gt;=" &amp; N36)</f>
        <v>0</v>
      </c>
      <c r="P35" s="41">
        <f t="shared" si="7"/>
        <v>7.5495685116279061</v>
      </c>
      <c r="Q35" s="42">
        <f>COUNTIF(Vertices[PageRank], "&gt;= " &amp; P35) - COUNTIF(Vertices[PageRank], "&gt;=" &amp; P36)</f>
        <v>0</v>
      </c>
      <c r="R35" s="41">
        <f t="shared" si="8"/>
        <v>0</v>
      </c>
      <c r="S35" s="46">
        <f>COUNTIF(Vertices[Clustering Coefficient], "&gt;= " &amp; R35) - COUNTIF(Vertices[Clustering Coefficient], "&gt;=" &amp; R36)</f>
        <v>0</v>
      </c>
      <c r="T35" s="41">
        <f t="shared" ca="1" si="9"/>
        <v>7594.5977769008869</v>
      </c>
      <c r="U35" s="42">
        <f t="shared" ca="1" si="0"/>
        <v>2</v>
      </c>
    </row>
    <row r="36" spans="1:21" x14ac:dyDescent="0.45">
      <c r="D36" s="34">
        <f t="shared" si="1"/>
        <v>18.395348837209319</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562.05426330232581</v>
      </c>
      <c r="K36" s="40">
        <f>COUNTIF(Vertices[Betweenness Centrality], "&gt;= " &amp; J36) - COUNTIF(Vertices[Betweenness Centrality], "&gt;=" &amp; J37)</f>
        <v>0</v>
      </c>
      <c r="L36" s="39">
        <f t="shared" si="5"/>
        <v>0.79160772093023202</v>
      </c>
      <c r="M36" s="40">
        <f>COUNTIF(Vertices[Closeness Centrality], "&gt;= " &amp; L36) - COUNTIF(Vertices[Closeness Centrality], "&gt;=" &amp; L37)</f>
        <v>0</v>
      </c>
      <c r="N36" s="39">
        <f t="shared" si="6"/>
        <v>3.8923674418604677E-2</v>
      </c>
      <c r="O36" s="40">
        <f>COUNTIF(Vertices[Eigenvector Centrality], "&gt;= " &amp; N36) - COUNTIF(Vertices[Eigenvector Centrality], "&gt;=" &amp; N37)</f>
        <v>0</v>
      </c>
      <c r="P36" s="39">
        <f t="shared" si="7"/>
        <v>7.7637338604651154</v>
      </c>
      <c r="Q36" s="40">
        <f>COUNTIF(Vertices[PageRank], "&gt;= " &amp; P36) - COUNTIF(Vertices[PageRank], "&gt;=" &amp; P37)</f>
        <v>0</v>
      </c>
      <c r="R36" s="39">
        <f t="shared" si="8"/>
        <v>0</v>
      </c>
      <c r="S36" s="45">
        <f>COUNTIF(Vertices[Clustering Coefficient], "&gt;= " &amp; R36) - COUNTIF(Vertices[Clustering Coefficient], "&gt;=" &amp; R37)</f>
        <v>0</v>
      </c>
      <c r="T36" s="39">
        <f t="shared" ca="1" si="9"/>
        <v>7820.0611437420475</v>
      </c>
      <c r="U36" s="40">
        <f t="shared" ca="1" si="0"/>
        <v>5</v>
      </c>
    </row>
    <row r="37" spans="1:21" x14ac:dyDescent="0.45">
      <c r="D37" s="34">
        <f t="shared" si="1"/>
        <v>18.906976744186064</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578.58527104651182</v>
      </c>
      <c r="K37" s="42">
        <f>COUNTIF(Vertices[Betweenness Centrality], "&gt;= " &amp; J37) - COUNTIF(Vertices[Betweenness Centrality], "&gt;=" &amp; J38)</f>
        <v>0</v>
      </c>
      <c r="L37" s="41">
        <f t="shared" si="5"/>
        <v>0.8147624186046506</v>
      </c>
      <c r="M37" s="42">
        <f>COUNTIF(Vertices[Closeness Centrality], "&gt;= " &amp; L37) - COUNTIF(Vertices[Closeness Centrality], "&gt;=" &amp; L38)</f>
        <v>0</v>
      </c>
      <c r="N37" s="41">
        <f t="shared" si="6"/>
        <v>4.006848837209305E-2</v>
      </c>
      <c r="O37" s="42">
        <f>COUNTIF(Vertices[Eigenvector Centrality], "&gt;= " &amp; N37) - COUNTIF(Vertices[Eigenvector Centrality], "&gt;=" &amp; N38)</f>
        <v>4</v>
      </c>
      <c r="P37" s="41">
        <f t="shared" si="7"/>
        <v>7.9778992093023247</v>
      </c>
      <c r="Q37" s="42">
        <f>COUNTIF(Vertices[PageRank], "&gt;= " &amp; P37) - COUNTIF(Vertices[PageRank], "&gt;=" &amp; P38)</f>
        <v>0</v>
      </c>
      <c r="R37" s="41">
        <f t="shared" si="8"/>
        <v>0</v>
      </c>
      <c r="S37" s="46">
        <f>COUNTIF(Vertices[Clustering Coefficient], "&gt;= " &amp; R37) - COUNTIF(Vertices[Clustering Coefficient], "&gt;=" &amp; R38)</f>
        <v>0</v>
      </c>
      <c r="T37" s="41">
        <f t="shared" ca="1" si="9"/>
        <v>8045.5245105832082</v>
      </c>
      <c r="U37" s="42">
        <f t="shared" ca="1" si="0"/>
        <v>1</v>
      </c>
    </row>
    <row r="38" spans="1:21" x14ac:dyDescent="0.45">
      <c r="D38" s="34">
        <f t="shared" si="1"/>
        <v>19.418604651162809</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595.11627879069783</v>
      </c>
      <c r="K38" s="40">
        <f>COUNTIF(Vertices[Betweenness Centrality], "&gt;= " &amp; J38) - COUNTIF(Vertices[Betweenness Centrality], "&gt;=" &amp; J39)</f>
        <v>0</v>
      </c>
      <c r="L38" s="39">
        <f t="shared" si="5"/>
        <v>0.83791711627906917</v>
      </c>
      <c r="M38" s="40">
        <f>COUNTIF(Vertices[Closeness Centrality], "&gt;= " &amp; L38) - COUNTIF(Vertices[Closeness Centrality], "&gt;=" &amp; L39)</f>
        <v>0</v>
      </c>
      <c r="N38" s="39">
        <f t="shared" si="6"/>
        <v>4.1213302325581423E-2</v>
      </c>
      <c r="O38" s="40">
        <f>COUNTIF(Vertices[Eigenvector Centrality], "&gt;= " &amp; N38) - COUNTIF(Vertices[Eigenvector Centrality], "&gt;=" &amp; N39)</f>
        <v>0</v>
      </c>
      <c r="P38" s="39">
        <f t="shared" si="7"/>
        <v>8.1920645581395348</v>
      </c>
      <c r="Q38" s="40">
        <f>COUNTIF(Vertices[PageRank], "&gt;= " &amp; P38) - COUNTIF(Vertices[PageRank], "&gt;=" &amp; P39)</f>
        <v>0</v>
      </c>
      <c r="R38" s="39">
        <f t="shared" si="8"/>
        <v>0</v>
      </c>
      <c r="S38" s="45">
        <f>COUNTIF(Vertices[Clustering Coefficient], "&gt;= " &amp; R38) - COUNTIF(Vertices[Clustering Coefficient], "&gt;=" &amp; R39)</f>
        <v>0</v>
      </c>
      <c r="T38" s="39">
        <f t="shared" ca="1" si="9"/>
        <v>8270.9878774243698</v>
      </c>
      <c r="U38" s="40">
        <f t="shared" ca="1" si="0"/>
        <v>0</v>
      </c>
    </row>
    <row r="39" spans="1:21" x14ac:dyDescent="0.45">
      <c r="D39" s="34">
        <f t="shared" si="1"/>
        <v>19.930232558139554</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611.64728653488385</v>
      </c>
      <c r="K39" s="42">
        <f>COUNTIF(Vertices[Betweenness Centrality], "&gt;= " &amp; J39) - COUNTIF(Vertices[Betweenness Centrality], "&gt;=" &amp; J40)</f>
        <v>0</v>
      </c>
      <c r="L39" s="41">
        <f t="shared" si="5"/>
        <v>0.86107181395348775</v>
      </c>
      <c r="M39" s="42">
        <f>COUNTIF(Vertices[Closeness Centrality], "&gt;= " &amp; L39) - COUNTIF(Vertices[Closeness Centrality], "&gt;=" &amp; L40)</f>
        <v>0</v>
      </c>
      <c r="N39" s="41">
        <f t="shared" si="6"/>
        <v>4.2358116279069796E-2</v>
      </c>
      <c r="O39" s="42">
        <f>COUNTIF(Vertices[Eigenvector Centrality], "&gt;= " &amp; N39) - COUNTIF(Vertices[Eigenvector Centrality], "&gt;=" &amp; N40)</f>
        <v>0</v>
      </c>
      <c r="P39" s="41">
        <f t="shared" si="7"/>
        <v>8.4062299069767441</v>
      </c>
      <c r="Q39" s="42">
        <f>COUNTIF(Vertices[PageRank], "&gt;= " &amp; P39) - COUNTIF(Vertices[PageRank], "&gt;=" &amp; P40)</f>
        <v>0</v>
      </c>
      <c r="R39" s="41">
        <f t="shared" si="8"/>
        <v>0</v>
      </c>
      <c r="S39" s="46">
        <f>COUNTIF(Vertices[Clustering Coefficient], "&gt;= " &amp; R39) - COUNTIF(Vertices[Clustering Coefficient], "&gt;=" &amp; R40)</f>
        <v>0</v>
      </c>
      <c r="T39" s="41">
        <f t="shared" ca="1" si="9"/>
        <v>8496.4512442655305</v>
      </c>
      <c r="U39" s="42">
        <f t="shared" ca="1" si="0"/>
        <v>2</v>
      </c>
    </row>
    <row r="40" spans="1:21" x14ac:dyDescent="0.45">
      <c r="D40" s="34">
        <f t="shared" si="1"/>
        <v>20.441860465116299</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628.17829427906986</v>
      </c>
      <c r="K40" s="40">
        <f>COUNTIF(Vertices[Betweenness Centrality], "&gt;= " &amp; J40) - COUNTIF(Vertices[Betweenness Centrality], "&gt;=" &amp; J41)</f>
        <v>0</v>
      </c>
      <c r="L40" s="39">
        <f t="shared" si="5"/>
        <v>0.88422651162790633</v>
      </c>
      <c r="M40" s="40">
        <f>COUNTIF(Vertices[Closeness Centrality], "&gt;= " &amp; L40) - COUNTIF(Vertices[Closeness Centrality], "&gt;=" &amp; L41)</f>
        <v>0</v>
      </c>
      <c r="N40" s="39">
        <f t="shared" si="6"/>
        <v>4.3502930232558169E-2</v>
      </c>
      <c r="O40" s="40">
        <f>COUNTIF(Vertices[Eigenvector Centrality], "&gt;= " &amp; N40) - COUNTIF(Vertices[Eigenvector Centrality], "&gt;=" &amp; N41)</f>
        <v>0</v>
      </c>
      <c r="P40" s="39">
        <f t="shared" si="7"/>
        <v>8.6203952558139534</v>
      </c>
      <c r="Q40" s="40">
        <f>COUNTIF(Vertices[PageRank], "&gt;= " &amp; P40) - COUNTIF(Vertices[PageRank], "&gt;=" &amp; P41)</f>
        <v>0</v>
      </c>
      <c r="R40" s="39">
        <f t="shared" si="8"/>
        <v>0</v>
      </c>
      <c r="S40" s="45">
        <f>COUNTIF(Vertices[Clustering Coefficient], "&gt;= " &amp; R40) - COUNTIF(Vertices[Clustering Coefficient], "&gt;=" &amp; R41)</f>
        <v>0</v>
      </c>
      <c r="T40" s="39">
        <f t="shared" ca="1" si="9"/>
        <v>8721.9146111066912</v>
      </c>
      <c r="U40" s="40">
        <f t="shared" ca="1" si="0"/>
        <v>2</v>
      </c>
    </row>
    <row r="41" spans="1:21" x14ac:dyDescent="0.45">
      <c r="D41" s="34">
        <f t="shared" si="1"/>
        <v>20.953488372093044</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644.70930202325587</v>
      </c>
      <c r="K41" s="42">
        <f>COUNTIF(Vertices[Betweenness Centrality], "&gt;= " &amp; J41) - COUNTIF(Vertices[Betweenness Centrality], "&gt;=" &amp; J42)</f>
        <v>0</v>
      </c>
      <c r="L41" s="41">
        <f t="shared" si="5"/>
        <v>0.90738120930232491</v>
      </c>
      <c r="M41" s="42">
        <f>COUNTIF(Vertices[Closeness Centrality], "&gt;= " &amp; L41) - COUNTIF(Vertices[Closeness Centrality], "&gt;=" &amp; L42)</f>
        <v>0</v>
      </c>
      <c r="N41" s="41">
        <f t="shared" si="6"/>
        <v>4.4647744186046542E-2</v>
      </c>
      <c r="O41" s="42">
        <f>COUNTIF(Vertices[Eigenvector Centrality], "&gt;= " &amp; N41) - COUNTIF(Vertices[Eigenvector Centrality], "&gt;=" &amp; N42)</f>
        <v>0</v>
      </c>
      <c r="P41" s="41">
        <f t="shared" si="7"/>
        <v>8.8345606046511627</v>
      </c>
      <c r="Q41" s="42">
        <f>COUNTIF(Vertices[PageRank], "&gt;= " &amp; P41) - COUNTIF(Vertices[PageRank], "&gt;=" &amp; P42)</f>
        <v>0</v>
      </c>
      <c r="R41" s="41">
        <f t="shared" si="8"/>
        <v>0</v>
      </c>
      <c r="S41" s="46">
        <f>COUNTIF(Vertices[Clustering Coefficient], "&gt;= " &amp; R41) - COUNTIF(Vertices[Clustering Coefficient], "&gt;=" &amp; R42)</f>
        <v>0</v>
      </c>
      <c r="T41" s="41">
        <f t="shared" ca="1" si="9"/>
        <v>8947.3779779478518</v>
      </c>
      <c r="U41" s="42">
        <f t="shared" ca="1" si="0"/>
        <v>3</v>
      </c>
    </row>
    <row r="42" spans="1:21" x14ac:dyDescent="0.45">
      <c r="D42" s="34">
        <f t="shared" si="1"/>
        <v>21.46511627906979</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661.24030976744189</v>
      </c>
      <c r="K42" s="40">
        <f>COUNTIF(Vertices[Betweenness Centrality], "&gt;= " &amp; J42) - COUNTIF(Vertices[Betweenness Centrality], "&gt;=" &amp; J43)</f>
        <v>0</v>
      </c>
      <c r="L42" s="39">
        <f t="shared" si="5"/>
        <v>0.93053590697674349</v>
      </c>
      <c r="M42" s="40">
        <f>COUNTIF(Vertices[Closeness Centrality], "&gt;= " &amp; L42) - COUNTIF(Vertices[Closeness Centrality], "&gt;=" &amp; L43)</f>
        <v>0</v>
      </c>
      <c r="N42" s="39">
        <f t="shared" si="6"/>
        <v>4.5792558139534915E-2</v>
      </c>
      <c r="O42" s="40">
        <f>COUNTIF(Vertices[Eigenvector Centrality], "&gt;= " &amp; N42) - COUNTIF(Vertices[Eigenvector Centrality], "&gt;=" &amp; N43)</f>
        <v>1</v>
      </c>
      <c r="P42" s="39">
        <f t="shared" si="7"/>
        <v>9.0487259534883719</v>
      </c>
      <c r="Q42" s="40">
        <f>COUNTIF(Vertices[PageRank], "&gt;= " &amp; P42) - COUNTIF(Vertices[PageRank], "&gt;=" &amp; P43)</f>
        <v>0</v>
      </c>
      <c r="R42" s="39">
        <f t="shared" si="8"/>
        <v>0</v>
      </c>
      <c r="S42" s="45">
        <f>COUNTIF(Vertices[Clustering Coefficient], "&gt;= " &amp; R42) - COUNTIF(Vertices[Clustering Coefficient], "&gt;=" &amp; R43)</f>
        <v>0</v>
      </c>
      <c r="T42" s="39">
        <f t="shared" ca="1" si="9"/>
        <v>9172.8413447890125</v>
      </c>
      <c r="U42" s="40">
        <f t="shared" ca="1" si="0"/>
        <v>2</v>
      </c>
    </row>
    <row r="43" spans="1:21" x14ac:dyDescent="0.45">
      <c r="A43" s="35" t="s">
        <v>82</v>
      </c>
      <c r="B43" s="48">
        <f>IF(COUNT(Vertices[Degree])&gt;0, D2, NoMetricMessage)</f>
        <v>1</v>
      </c>
      <c r="D43" s="34">
        <f t="shared" si="1"/>
        <v>21.976744186046535</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677.7713175116279</v>
      </c>
      <c r="K43" s="42">
        <f>COUNTIF(Vertices[Betweenness Centrality], "&gt;= " &amp; J43) - COUNTIF(Vertices[Betweenness Centrality], "&gt;=" &amp; J44)</f>
        <v>0</v>
      </c>
      <c r="L43" s="41">
        <f t="shared" si="5"/>
        <v>0.95369060465116207</v>
      </c>
      <c r="M43" s="42">
        <f>COUNTIF(Vertices[Closeness Centrality], "&gt;= " &amp; L43) - COUNTIF(Vertices[Closeness Centrality], "&gt;=" &amp; L44)</f>
        <v>0</v>
      </c>
      <c r="N43" s="41">
        <f t="shared" si="6"/>
        <v>4.6937372093023288E-2</v>
      </c>
      <c r="O43" s="42">
        <f>COUNTIF(Vertices[Eigenvector Centrality], "&gt;= " &amp; N43) - COUNTIF(Vertices[Eigenvector Centrality], "&gt;=" &amp; N44)</f>
        <v>0</v>
      </c>
      <c r="P43" s="41">
        <f t="shared" si="7"/>
        <v>9.2628913023255812</v>
      </c>
      <c r="Q43" s="42">
        <f>COUNTIF(Vertices[PageRank], "&gt;= " &amp; P43) - COUNTIF(Vertices[PageRank], "&gt;=" &amp; P44)</f>
        <v>0</v>
      </c>
      <c r="R43" s="41">
        <f t="shared" si="8"/>
        <v>0</v>
      </c>
      <c r="S43" s="46">
        <f>COUNTIF(Vertices[Clustering Coefficient], "&gt;= " &amp; R43) - COUNTIF(Vertices[Clustering Coefficient], "&gt;=" &amp; R44)</f>
        <v>0</v>
      </c>
      <c r="T43" s="41">
        <f t="shared" ca="1" si="9"/>
        <v>9398.3047116301732</v>
      </c>
      <c r="U43" s="42">
        <f t="shared" ca="1" si="0"/>
        <v>0</v>
      </c>
    </row>
    <row r="44" spans="1:21" x14ac:dyDescent="0.45">
      <c r="A44" s="35" t="s">
        <v>83</v>
      </c>
      <c r="B44" s="48">
        <f>IF(COUNT(Vertices[Degree])&gt;0, D45, NoMetricMessage)</f>
        <v>23</v>
      </c>
      <c r="D44" s="34">
        <f t="shared" si="1"/>
        <v>22.48837209302328</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694.30232525581391</v>
      </c>
      <c r="K44" s="40">
        <f>COUNTIF(Vertices[Betweenness Centrality], "&gt;= " &amp; J44) - COUNTIF(Vertices[Betweenness Centrality], "&gt;=" &amp; J45)</f>
        <v>0</v>
      </c>
      <c r="L44" s="39">
        <f t="shared" si="5"/>
        <v>0.97684530232558064</v>
      </c>
      <c r="M44" s="40">
        <f>COUNTIF(Vertices[Closeness Centrality], "&gt;= " &amp; L44) - COUNTIF(Vertices[Closeness Centrality], "&gt;=" &amp; L45)</f>
        <v>0</v>
      </c>
      <c r="N44" s="39">
        <f t="shared" si="6"/>
        <v>4.8082186046511662E-2</v>
      </c>
      <c r="O44" s="40">
        <f>COUNTIF(Vertices[Eigenvector Centrality], "&gt;= " &amp; N44) - COUNTIF(Vertices[Eigenvector Centrality], "&gt;=" &amp; N45)</f>
        <v>0</v>
      </c>
      <c r="P44" s="39">
        <f t="shared" si="7"/>
        <v>9.4770566511627905</v>
      </c>
      <c r="Q44" s="40">
        <f>COUNTIF(Vertices[PageRank], "&gt;= " &amp; P44) - COUNTIF(Vertices[PageRank], "&gt;=" &amp; P45)</f>
        <v>0</v>
      </c>
      <c r="R44" s="39">
        <f t="shared" si="8"/>
        <v>0</v>
      </c>
      <c r="S44" s="45">
        <f>COUNTIF(Vertices[Clustering Coefficient], "&gt;= " &amp; R44) - COUNTIF(Vertices[Clustering Coefficient], "&gt;=" &amp; R45)</f>
        <v>0</v>
      </c>
      <c r="T44" s="39">
        <f t="shared" ca="1" si="9"/>
        <v>9623.7680784713339</v>
      </c>
      <c r="U44" s="40">
        <f t="shared" ca="1" si="0"/>
        <v>1</v>
      </c>
    </row>
    <row r="45" spans="1:21" x14ac:dyDescent="0.45">
      <c r="A45" s="35" t="s">
        <v>84</v>
      </c>
      <c r="B45" s="49">
        <f>IFERROR(AVERAGE(Vertices[Degree]),NoMetricMessage)</f>
        <v>2.1052631578947367</v>
      </c>
      <c r="D45" s="34">
        <f>MAX(Vertices[Degree])</f>
        <v>23</v>
      </c>
      <c r="E45" s="3">
        <f>COUNTIF(Vertices[Degree], "&gt;= " &amp; D45) - COUNTIF(Vertices[Degree], "&gt;=" &amp; D46)</f>
        <v>1</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710.83333300000004</v>
      </c>
      <c r="K45" s="44">
        <f>COUNTIF(Vertices[Betweenness Centrality], "&gt;= " &amp; J45) - COUNTIF(Vertices[Betweenness Centrality], "&gt;=" &amp; J46)</f>
        <v>1</v>
      </c>
      <c r="L45" s="43">
        <f>MAX(Vertices[Closeness Centrality])</f>
        <v>1</v>
      </c>
      <c r="M45" s="44">
        <f>COUNTIF(Vertices[Closeness Centrality], "&gt;= " &amp; L45) - COUNTIF(Vertices[Closeness Centrality], "&gt;=" &amp; L46)</f>
        <v>6</v>
      </c>
      <c r="N45" s="43">
        <f>MAX(Vertices[Eigenvector Centrality])</f>
        <v>4.9227E-2</v>
      </c>
      <c r="O45" s="44">
        <f>COUNTIF(Vertices[Eigenvector Centrality], "&gt;= " &amp; N45) - COUNTIF(Vertices[Eigenvector Centrality], "&gt;=" &amp; N46)</f>
        <v>1</v>
      </c>
      <c r="P45" s="43">
        <f>MAX(Vertices[PageRank])</f>
        <v>9.6912219999999998</v>
      </c>
      <c r="Q45" s="44">
        <f>COUNTIF(Vertices[PageRank], "&gt;= " &amp; P45) - COUNTIF(Vertices[PageRank], "&gt;=" &amp; P46)</f>
        <v>1</v>
      </c>
      <c r="R45" s="43">
        <f>MAX(Vertices[Clustering Coefficient])</f>
        <v>0</v>
      </c>
      <c r="S45" s="47">
        <f>COUNTIF(Vertices[Clustering Coefficient], "&gt;= " &amp; R45) - COUNTIF(Vertices[Clustering Coefficient], "&gt;=" &amp; R46)</f>
        <v>57</v>
      </c>
      <c r="T45" s="43">
        <f ca="1">MAX(INDIRECT(DynamicFilterSourceColumnRange))</f>
        <v>9849.2314453125</v>
      </c>
      <c r="U45" s="44">
        <f t="shared" ca="1" si="0"/>
        <v>1</v>
      </c>
    </row>
    <row r="46" spans="1:21" x14ac:dyDescent="0.45">
      <c r="A46" s="35" t="s">
        <v>85</v>
      </c>
      <c r="B46" s="49">
        <f>IFERROR(MEDIAN(Vertices[Degree]),NoMetricMessage)</f>
        <v>1</v>
      </c>
    </row>
    <row r="57" spans="1:2" x14ac:dyDescent="0.45">
      <c r="A57" s="35" t="s">
        <v>89</v>
      </c>
      <c r="B57" s="48" t="str">
        <f>IF(COUNT(Vertices[In-Degree])&gt;0, F2, NoMetricMessage)</f>
        <v>Not Available</v>
      </c>
    </row>
    <row r="58" spans="1:2" x14ac:dyDescent="0.45">
      <c r="A58" s="35" t="s">
        <v>90</v>
      </c>
      <c r="B58" s="48" t="str">
        <f>IF(COUNT(Vertices[In-Degree])&gt;0, F45, NoMetricMessage)</f>
        <v>Not Available</v>
      </c>
    </row>
    <row r="59" spans="1:2" x14ac:dyDescent="0.45">
      <c r="A59" s="35" t="s">
        <v>91</v>
      </c>
      <c r="B59" s="49" t="str">
        <f>IFERROR(AVERAGE(Vertices[In-Degree]),NoMetricMessage)</f>
        <v>Not Available</v>
      </c>
    </row>
    <row r="60" spans="1:2" x14ac:dyDescent="0.45">
      <c r="A60" s="35" t="s">
        <v>92</v>
      </c>
      <c r="B60" s="49" t="str">
        <f>IFERROR(MEDIAN(Vertices[In-Degree]),NoMetricMessage)</f>
        <v>Not Available</v>
      </c>
    </row>
    <row r="71" spans="1:2" x14ac:dyDescent="0.45">
      <c r="A71" s="35" t="s">
        <v>95</v>
      </c>
      <c r="B71" s="48" t="str">
        <f>IF(COUNT(Vertices[Out-Degree])&gt;0, H2, NoMetricMessage)</f>
        <v>Not Available</v>
      </c>
    </row>
    <row r="72" spans="1:2" x14ac:dyDescent="0.45">
      <c r="A72" s="35" t="s">
        <v>96</v>
      </c>
      <c r="B72" s="48" t="str">
        <f>IF(COUNT(Vertices[Out-Degree])&gt;0, H45, NoMetricMessage)</f>
        <v>Not Available</v>
      </c>
    </row>
    <row r="73" spans="1:2" x14ac:dyDescent="0.45">
      <c r="A73" s="35" t="s">
        <v>97</v>
      </c>
      <c r="B73" s="49" t="str">
        <f>IFERROR(AVERAGE(Vertices[Out-Degree]),NoMetricMessage)</f>
        <v>Not Available</v>
      </c>
    </row>
    <row r="74" spans="1:2" x14ac:dyDescent="0.45">
      <c r="A74" s="35" t="s">
        <v>98</v>
      </c>
      <c r="B74" s="49" t="str">
        <f>IFERROR(MEDIAN(Vertices[Out-Degree]),NoMetricMessage)</f>
        <v>Not Available</v>
      </c>
    </row>
    <row r="85" spans="1:2" x14ac:dyDescent="0.45">
      <c r="A85" s="35" t="s">
        <v>101</v>
      </c>
      <c r="B85" s="49">
        <f>IF(COUNT(Vertices[Betweenness Centrality])&gt;0, J2, NoMetricMessage)</f>
        <v>0</v>
      </c>
    </row>
    <row r="86" spans="1:2" x14ac:dyDescent="0.45">
      <c r="A86" s="35" t="s">
        <v>102</v>
      </c>
      <c r="B86" s="49">
        <f>IF(COUNT(Vertices[Betweenness Centrality])&gt;0, J45, NoMetricMessage)</f>
        <v>710.83333300000004</v>
      </c>
    </row>
    <row r="87" spans="1:2" x14ac:dyDescent="0.45">
      <c r="A87" s="35" t="s">
        <v>103</v>
      </c>
      <c r="B87" s="49">
        <f>IFERROR(AVERAGE(Vertices[Betweenness Centrality]),NoMetricMessage)</f>
        <v>45</v>
      </c>
    </row>
    <row r="88" spans="1:2" x14ac:dyDescent="0.45">
      <c r="A88" s="35" t="s">
        <v>104</v>
      </c>
      <c r="B88" s="49">
        <f>IFERROR(MEDIAN(Vertices[Betweenness Centrality]),NoMetricMessage)</f>
        <v>0</v>
      </c>
    </row>
    <row r="99" spans="1:2" x14ac:dyDescent="0.45">
      <c r="A99" s="35" t="s">
        <v>107</v>
      </c>
      <c r="B99" s="49">
        <f>IF(COUNT(Vertices[Closeness Centrality])&gt;0, L2, NoMetricMessage)</f>
        <v>4.3480000000000003E-3</v>
      </c>
    </row>
    <row r="100" spans="1:2" x14ac:dyDescent="0.45">
      <c r="A100" s="35" t="s">
        <v>108</v>
      </c>
      <c r="B100" s="49">
        <f>IF(COUNT(Vertices[Closeness Centrality])&gt;0, L45, NoMetricMessage)</f>
        <v>1</v>
      </c>
    </row>
    <row r="101" spans="1:2" x14ac:dyDescent="0.45">
      <c r="A101" s="35" t="s">
        <v>109</v>
      </c>
      <c r="B101" s="49">
        <f>IFERROR(AVERAGE(Vertices[Closeness Centrality]),NoMetricMessage)</f>
        <v>0.13137105263157897</v>
      </c>
    </row>
    <row r="102" spans="1:2" x14ac:dyDescent="0.45">
      <c r="A102" s="35" t="s">
        <v>110</v>
      </c>
      <c r="B102" s="49">
        <f>IFERROR(MEDIAN(Vertices[Closeness Centrality]),NoMetricMessage)</f>
        <v>6.757E-3</v>
      </c>
    </row>
    <row r="113" spans="1:2" x14ac:dyDescent="0.45">
      <c r="A113" s="35" t="s">
        <v>113</v>
      </c>
      <c r="B113" s="49">
        <f>IF(COUNT(Vertices[Eigenvector Centrality])&gt;0, N2, NoMetricMessage)</f>
        <v>0</v>
      </c>
    </row>
    <row r="114" spans="1:2" x14ac:dyDescent="0.45">
      <c r="A114" s="35" t="s">
        <v>114</v>
      </c>
      <c r="B114" s="49">
        <f>IF(COUNT(Vertices[Eigenvector Centrality])&gt;0, N45, NoMetricMessage)</f>
        <v>4.9227E-2</v>
      </c>
    </row>
    <row r="115" spans="1:2" x14ac:dyDescent="0.45">
      <c r="A115" s="35" t="s">
        <v>115</v>
      </c>
      <c r="B115" s="49">
        <f>IFERROR(AVERAGE(Vertices[Eigenvector Centrality]),NoMetricMessage)</f>
        <v>1.7543947368421055E-2</v>
      </c>
    </row>
    <row r="116" spans="1:2" x14ac:dyDescent="0.45">
      <c r="A116" s="35" t="s">
        <v>116</v>
      </c>
      <c r="B116" s="49">
        <f>IFERROR(MEDIAN(Vertices[Eigenvector Centrality]),NoMetricMessage)</f>
        <v>6.5849999999999997E-3</v>
      </c>
    </row>
    <row r="127" spans="1:2" x14ac:dyDescent="0.45">
      <c r="A127" s="35" t="s">
        <v>140</v>
      </c>
      <c r="B127" s="49">
        <f>IF(COUNT(Vertices[PageRank])&gt;0, P2, NoMetricMessage)</f>
        <v>0.48211199999999999</v>
      </c>
    </row>
    <row r="128" spans="1:2" x14ac:dyDescent="0.45">
      <c r="A128" s="35" t="s">
        <v>141</v>
      </c>
      <c r="B128" s="49">
        <f>IF(COUNT(Vertices[PageRank])&gt;0, P45, NoMetricMessage)</f>
        <v>9.6912219999999998</v>
      </c>
    </row>
    <row r="129" spans="1:2" x14ac:dyDescent="0.45">
      <c r="A129" s="35" t="s">
        <v>142</v>
      </c>
      <c r="B129" s="49">
        <f>IFERROR(AVERAGE(Vertices[PageRank]),NoMetricMessage)</f>
        <v>0.99999049122806938</v>
      </c>
    </row>
    <row r="130" spans="1:2" x14ac:dyDescent="0.45">
      <c r="A130" s="35" t="s">
        <v>143</v>
      </c>
      <c r="B130" s="49">
        <f>IFERROR(MEDIAN(Vertices[PageRank]),NoMetricMessage)</f>
        <v>0.50815399999999999</v>
      </c>
    </row>
    <row r="141" spans="1:2" x14ac:dyDescent="0.45">
      <c r="A141" s="35" t="s">
        <v>119</v>
      </c>
      <c r="B141" s="49">
        <f>IF(COUNT(Vertices[Clustering Coefficient])&gt;0, R2, NoMetricMessage)</f>
        <v>0</v>
      </c>
    </row>
    <row r="142" spans="1:2" x14ac:dyDescent="0.45">
      <c r="A142" s="35" t="s">
        <v>120</v>
      </c>
      <c r="B142" s="49">
        <f>IF(COUNT(Vertices[Clustering Coefficient])&gt;0, R45, NoMetricMessage)</f>
        <v>0</v>
      </c>
    </row>
    <row r="143" spans="1:2" x14ac:dyDescent="0.45">
      <c r="A143" s="35" t="s">
        <v>121</v>
      </c>
      <c r="B143" s="49">
        <f>IFERROR(AVERAGE(Vertices[Clustering Coefficient]),NoMetricMessage)</f>
        <v>0</v>
      </c>
    </row>
    <row r="144" spans="1:2" x14ac:dyDescent="0.45">
      <c r="A144" s="35" t="s">
        <v>122</v>
      </c>
      <c r="B144" s="49">
        <f>IFERROR(MEDIAN(Vertices[Clustering Coefficient]),NoMetricMessage)</f>
        <v>0</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R23"/>
  <sheetViews>
    <sheetView workbookViewId="0">
      <selection activeCell="A2" sqref="A2"/>
    </sheetView>
  </sheetViews>
  <sheetFormatPr defaultRowHeight="14.25" x14ac:dyDescent="0.45"/>
  <cols>
    <col min="1" max="1" width="10.3984375" style="1" bestFit="1" customWidth="1"/>
    <col min="2" max="2" width="12.3984375" style="1" bestFit="1" customWidth="1"/>
    <col min="3" max="3" width="22.86328125" bestFit="1" customWidth="1"/>
    <col min="4" max="4" width="16.86328125" bestFit="1" customWidth="1"/>
    <col min="5" max="6" width="16.86328125" customWidth="1"/>
    <col min="7" max="7" width="14.265625" bestFit="1" customWidth="1"/>
    <col min="8" max="8" width="14.265625" customWidth="1"/>
    <col min="10" max="10" width="39.1328125" bestFit="1" customWidth="1"/>
    <col min="11" max="11" width="10.86328125" bestFit="1" customWidth="1"/>
    <col min="13" max="13" width="8.3984375" bestFit="1" customWidth="1"/>
    <col min="14" max="14" width="10" bestFit="1" customWidth="1"/>
    <col min="15" max="15" width="11.86328125" bestFit="1" customWidth="1"/>
    <col min="16" max="16" width="12.1328125" bestFit="1" customWidth="1"/>
  </cols>
  <sheetData>
    <row r="1" spans="1:18" s="4" customFormat="1" ht="36" customHeight="1" x14ac:dyDescent="0.45">
      <c r="A1" s="5" t="s">
        <v>6</v>
      </c>
      <c r="B1" s="5" t="s">
        <v>131</v>
      </c>
      <c r="C1" s="4" t="s">
        <v>7</v>
      </c>
      <c r="D1" s="4" t="s">
        <v>9</v>
      </c>
      <c r="E1" s="4" t="s">
        <v>164</v>
      </c>
      <c r="F1" s="5" t="s">
        <v>169</v>
      </c>
      <c r="G1" s="4" t="s">
        <v>14</v>
      </c>
      <c r="H1" s="4" t="s">
        <v>68</v>
      </c>
      <c r="J1" s="4" t="s">
        <v>18</v>
      </c>
      <c r="K1" s="4" t="s">
        <v>17</v>
      </c>
      <c r="M1" s="4" t="s">
        <v>22</v>
      </c>
      <c r="N1" s="4" t="s">
        <v>23</v>
      </c>
      <c r="O1" s="4" t="s">
        <v>24</v>
      </c>
      <c r="P1" s="4" t="s">
        <v>25</v>
      </c>
    </row>
    <row r="2" spans="1:18" x14ac:dyDescent="0.45">
      <c r="A2" s="1" t="s">
        <v>52</v>
      </c>
      <c r="B2" s="1" t="s">
        <v>132</v>
      </c>
      <c r="C2" t="s">
        <v>55</v>
      </c>
      <c r="D2" t="s">
        <v>56</v>
      </c>
      <c r="E2" t="s">
        <v>56</v>
      </c>
      <c r="F2" s="1" t="s">
        <v>52</v>
      </c>
      <c r="G2" t="s">
        <v>66</v>
      </c>
      <c r="H2" t="s">
        <v>159</v>
      </c>
      <c r="J2" t="s">
        <v>19</v>
      </c>
      <c r="K2">
        <v>108</v>
      </c>
      <c r="M2" t="s">
        <v>146</v>
      </c>
      <c r="N2" t="s">
        <v>15</v>
      </c>
      <c r="O2">
        <v>142.02125549316401</v>
      </c>
      <c r="P2">
        <v>9864.814453125</v>
      </c>
    </row>
    <row r="3" spans="1:18" x14ac:dyDescent="0.45">
      <c r="A3" s="1" t="s">
        <v>53</v>
      </c>
      <c r="B3" s="1" t="s">
        <v>133</v>
      </c>
      <c r="C3" t="s">
        <v>53</v>
      </c>
      <c r="D3" t="s">
        <v>57</v>
      </c>
      <c r="E3" t="s">
        <v>57</v>
      </c>
      <c r="F3" s="1" t="s">
        <v>53</v>
      </c>
      <c r="G3" t="s">
        <v>67</v>
      </c>
      <c r="H3" t="s">
        <v>69</v>
      </c>
      <c r="J3" t="s">
        <v>30</v>
      </c>
      <c r="K3" t="s">
        <v>31</v>
      </c>
      <c r="M3" t="s">
        <v>146</v>
      </c>
      <c r="N3" t="s">
        <v>16</v>
      </c>
      <c r="O3">
        <v>154.30667114257801</v>
      </c>
      <c r="P3">
        <v>9849.2314453125</v>
      </c>
    </row>
    <row r="4" spans="1:18" x14ac:dyDescent="0.45">
      <c r="A4" s="1" t="s">
        <v>54</v>
      </c>
      <c r="B4" s="1" t="s">
        <v>134</v>
      </c>
      <c r="C4" t="s">
        <v>54</v>
      </c>
      <c r="D4" t="s">
        <v>58</v>
      </c>
      <c r="E4" t="s">
        <v>58</v>
      </c>
      <c r="F4" s="1" t="s">
        <v>54</v>
      </c>
      <c r="G4">
        <v>0</v>
      </c>
      <c r="H4" t="s">
        <v>70</v>
      </c>
      <c r="J4" s="12" t="s">
        <v>79</v>
      </c>
      <c r="K4" s="12"/>
    </row>
    <row r="5" spans="1:18" ht="409.5" x14ac:dyDescent="0.45">
      <c r="A5">
        <v>1</v>
      </c>
      <c r="B5" s="1" t="s">
        <v>135</v>
      </c>
      <c r="C5" t="s">
        <v>52</v>
      </c>
      <c r="D5" t="s">
        <v>59</v>
      </c>
      <c r="E5" t="s">
        <v>59</v>
      </c>
      <c r="F5">
        <v>1</v>
      </c>
      <c r="G5">
        <v>1</v>
      </c>
      <c r="H5" t="s">
        <v>71</v>
      </c>
      <c r="J5" t="s">
        <v>172</v>
      </c>
      <c r="K5" s="13" t="s">
        <v>308</v>
      </c>
    </row>
    <row r="6" spans="1:18" x14ac:dyDescent="0.45">
      <c r="A6">
        <v>0</v>
      </c>
      <c r="B6" s="1" t="s">
        <v>136</v>
      </c>
      <c r="C6">
        <v>1</v>
      </c>
      <c r="D6" t="s">
        <v>60</v>
      </c>
      <c r="E6" t="s">
        <v>60</v>
      </c>
      <c r="F6">
        <v>0</v>
      </c>
      <c r="H6" t="s">
        <v>72</v>
      </c>
      <c r="J6" t="s">
        <v>173</v>
      </c>
      <c r="K6">
        <v>2</v>
      </c>
      <c r="R6" t="s">
        <v>129</v>
      </c>
    </row>
    <row r="7" spans="1:18" x14ac:dyDescent="0.45">
      <c r="A7">
        <v>2</v>
      </c>
      <c r="B7">
        <v>1</v>
      </c>
      <c r="C7">
        <v>0</v>
      </c>
      <c r="D7" t="s">
        <v>61</v>
      </c>
      <c r="E7" t="s">
        <v>61</v>
      </c>
      <c r="F7">
        <v>2</v>
      </c>
      <c r="H7" t="s">
        <v>73</v>
      </c>
      <c r="J7" t="s">
        <v>174</v>
      </c>
      <c r="K7" t="s">
        <v>286</v>
      </c>
    </row>
    <row r="8" spans="1:18" x14ac:dyDescent="0.45">
      <c r="A8"/>
      <c r="B8">
        <v>2</v>
      </c>
      <c r="C8">
        <v>2</v>
      </c>
      <c r="D8" t="s">
        <v>62</v>
      </c>
      <c r="E8" t="s">
        <v>62</v>
      </c>
      <c r="H8" t="s">
        <v>74</v>
      </c>
      <c r="J8" t="s">
        <v>175</v>
      </c>
      <c r="K8" t="s">
        <v>306</v>
      </c>
    </row>
    <row r="9" spans="1:18" ht="409.5" x14ac:dyDescent="0.45">
      <c r="A9"/>
      <c r="B9">
        <v>3</v>
      </c>
      <c r="C9">
        <v>4</v>
      </c>
      <c r="D9" t="s">
        <v>63</v>
      </c>
      <c r="E9" t="s">
        <v>63</v>
      </c>
      <c r="H9" t="s">
        <v>75</v>
      </c>
      <c r="J9" t="s">
        <v>287</v>
      </c>
      <c r="K9" s="13" t="s">
        <v>309</v>
      </c>
    </row>
    <row r="10" spans="1:18" x14ac:dyDescent="0.45">
      <c r="A10"/>
      <c r="B10">
        <v>4</v>
      </c>
      <c r="D10" t="s">
        <v>64</v>
      </c>
      <c r="E10" t="s">
        <v>64</v>
      </c>
      <c r="H10" t="s">
        <v>76</v>
      </c>
    </row>
    <row r="11" spans="1:18" x14ac:dyDescent="0.45">
      <c r="A11"/>
      <c r="B11">
        <v>5</v>
      </c>
      <c r="D11" t="s">
        <v>47</v>
      </c>
      <c r="E11">
        <v>1</v>
      </c>
      <c r="H11" t="s">
        <v>77</v>
      </c>
    </row>
    <row r="12" spans="1:18" x14ac:dyDescent="0.45">
      <c r="A12"/>
      <c r="B12"/>
      <c r="D12" t="s">
        <v>65</v>
      </c>
      <c r="E12">
        <v>2</v>
      </c>
      <c r="H12">
        <v>0</v>
      </c>
    </row>
    <row r="13" spans="1:18" x14ac:dyDescent="0.45">
      <c r="A13"/>
      <c r="B13"/>
      <c r="D13">
        <v>1</v>
      </c>
      <c r="E13">
        <v>3</v>
      </c>
      <c r="H13">
        <v>1</v>
      </c>
    </row>
    <row r="14" spans="1:18" x14ac:dyDescent="0.45">
      <c r="D14">
        <v>2</v>
      </c>
      <c r="E14">
        <v>4</v>
      </c>
      <c r="H14">
        <v>2</v>
      </c>
    </row>
    <row r="15" spans="1:18" x14ac:dyDescent="0.45">
      <c r="D15">
        <v>3</v>
      </c>
      <c r="E15">
        <v>5</v>
      </c>
      <c r="H15">
        <v>3</v>
      </c>
    </row>
    <row r="16" spans="1:18" x14ac:dyDescent="0.45">
      <c r="D16">
        <v>4</v>
      </c>
      <c r="E16">
        <v>6</v>
      </c>
      <c r="H16">
        <v>4</v>
      </c>
    </row>
    <row r="17" spans="4:8" x14ac:dyDescent="0.45">
      <c r="D17">
        <v>5</v>
      </c>
      <c r="E17">
        <v>7</v>
      </c>
      <c r="H17">
        <v>5</v>
      </c>
    </row>
    <row r="18" spans="4:8" x14ac:dyDescent="0.45">
      <c r="D18">
        <v>6</v>
      </c>
      <c r="E18">
        <v>8</v>
      </c>
      <c r="H18">
        <v>6</v>
      </c>
    </row>
    <row r="19" spans="4:8" x14ac:dyDescent="0.45">
      <c r="D19">
        <v>7</v>
      </c>
      <c r="E19">
        <v>9</v>
      </c>
      <c r="H19">
        <v>7</v>
      </c>
    </row>
    <row r="20" spans="4:8" x14ac:dyDescent="0.45">
      <c r="D20">
        <v>8</v>
      </c>
      <c r="H20">
        <v>8</v>
      </c>
    </row>
    <row r="21" spans="4:8" x14ac:dyDescent="0.45">
      <c r="D21">
        <v>9</v>
      </c>
      <c r="H21">
        <v>9</v>
      </c>
    </row>
    <row r="22" spans="4:8" x14ac:dyDescent="0.45">
      <c r="D22">
        <v>10</v>
      </c>
    </row>
    <row r="23" spans="4:8" x14ac:dyDescent="0.45">
      <c r="D23">
        <v>11</v>
      </c>
    </row>
  </sheetData>
  <dataConsolidate/>
  <pageMargins left="0.7" right="0.7" top="0.75" bottom="0.75" header="0.3" footer="0.3"/>
  <pageSetup orientation="portrait" horizontalDpi="0" verticalDpi="0"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BB78F-DDAD-417B-9BF0-8DDB8365FD4F}">
  <dimension ref="A1:B28"/>
  <sheetViews>
    <sheetView workbookViewId="0"/>
  </sheetViews>
  <sheetFormatPr defaultRowHeight="14.25" x14ac:dyDescent="0.45"/>
  <cols>
    <col min="1" max="1" width="39.59765625" customWidth="1"/>
    <col min="2" max="2" width="18.06640625" bestFit="1" customWidth="1"/>
  </cols>
  <sheetData>
    <row r="1" spans="1:2" ht="14.45" customHeight="1" x14ac:dyDescent="0.45">
      <c r="A1" s="13" t="s">
        <v>245</v>
      </c>
      <c r="B1" s="13" t="s">
        <v>246</v>
      </c>
    </row>
    <row r="2" spans="1:2" x14ac:dyDescent="0.45">
      <c r="A2" s="100"/>
      <c r="B2" s="100"/>
    </row>
    <row r="4" spans="1:2" ht="14.45" customHeight="1" x14ac:dyDescent="0.45">
      <c r="A4" s="13" t="s">
        <v>248</v>
      </c>
      <c r="B4" s="13" t="s">
        <v>246</v>
      </c>
    </row>
    <row r="5" spans="1:2" x14ac:dyDescent="0.45">
      <c r="A5" s="100"/>
      <c r="B5" s="100"/>
    </row>
    <row r="7" spans="1:2" ht="14.45" customHeight="1" x14ac:dyDescent="0.45">
      <c r="A7" s="13" t="s">
        <v>250</v>
      </c>
      <c r="B7" s="13" t="s">
        <v>246</v>
      </c>
    </row>
    <row r="8" spans="1:2" x14ac:dyDescent="0.45">
      <c r="A8" s="100"/>
      <c r="B8" s="100"/>
    </row>
    <row r="10" spans="1:2" ht="14.45" customHeight="1" x14ac:dyDescent="0.45">
      <c r="A10" s="13" t="s">
        <v>252</v>
      </c>
      <c r="B10" s="13" t="s">
        <v>246</v>
      </c>
    </row>
    <row r="11" spans="1:2" x14ac:dyDescent="0.45">
      <c r="A11" s="102" t="s">
        <v>253</v>
      </c>
      <c r="B11" s="102">
        <v>0</v>
      </c>
    </row>
    <row r="12" spans="1:2" x14ac:dyDescent="0.45">
      <c r="A12" s="102" t="s">
        <v>254</v>
      </c>
      <c r="B12" s="102">
        <v>0</v>
      </c>
    </row>
    <row r="13" spans="1:2" x14ac:dyDescent="0.45">
      <c r="A13" s="102" t="s">
        <v>255</v>
      </c>
      <c r="B13" s="102">
        <v>0</v>
      </c>
    </row>
    <row r="14" spans="1:2" x14ac:dyDescent="0.45">
      <c r="A14" s="102" t="s">
        <v>256</v>
      </c>
      <c r="B14" s="102">
        <v>0</v>
      </c>
    </row>
    <row r="15" spans="1:2" x14ac:dyDescent="0.45">
      <c r="A15" s="102" t="s">
        <v>257</v>
      </c>
      <c r="B15" s="102">
        <v>0</v>
      </c>
    </row>
    <row r="18" spans="1:2" ht="14.45" customHeight="1" x14ac:dyDescent="0.45">
      <c r="A18" s="13" t="s">
        <v>259</v>
      </c>
      <c r="B18" s="13" t="s">
        <v>246</v>
      </c>
    </row>
    <row r="19" spans="1:2" x14ac:dyDescent="0.45">
      <c r="A19" s="100"/>
      <c r="B19" s="100"/>
    </row>
    <row r="21" spans="1:2" ht="14.45" customHeight="1" x14ac:dyDescent="0.45">
      <c r="A21" s="13" t="s">
        <v>261</v>
      </c>
      <c r="B21" s="13" t="s">
        <v>246</v>
      </c>
    </row>
    <row r="22" spans="1:2" x14ac:dyDescent="0.45">
      <c r="A22" s="100"/>
      <c r="B22" s="100"/>
    </row>
    <row r="24" spans="1:2" ht="14.45" customHeight="1" x14ac:dyDescent="0.45">
      <c r="A24" s="13" t="s">
        <v>262</v>
      </c>
      <c r="B24" s="13" t="s">
        <v>246</v>
      </c>
    </row>
    <row r="25" spans="1:2" x14ac:dyDescent="0.45">
      <c r="A25" s="100"/>
      <c r="B25" s="100"/>
    </row>
    <row r="27" spans="1:2" ht="14.45" customHeight="1" x14ac:dyDescent="0.45">
      <c r="A27" s="13" t="s">
        <v>265</v>
      </c>
      <c r="B27" s="13" t="s">
        <v>246</v>
      </c>
    </row>
    <row r="28" spans="1:2" x14ac:dyDescent="0.45">
      <c r="A28" s="100"/>
      <c r="B28" s="100"/>
    </row>
  </sheetData>
  <pageMargins left="0.7" right="0.7" top="0.75" bottom="0.75" header="0.3" footer="0.3"/>
  <tableParts count="8">
    <tablePart r:id="rId1"/>
    <tablePart r:id="rId2"/>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3AFE543A-EC67-4D12-9042-2EDB6B90EC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Edges</vt:lpstr>
      <vt:lpstr>Vertices</vt:lpstr>
      <vt:lpstr>Do Not Delete</vt:lpstr>
      <vt:lpstr>Groups</vt:lpstr>
      <vt:lpstr>Group Vertices</vt:lpstr>
      <vt:lpstr>Overall Metrics</vt:lpstr>
      <vt:lpstr>Misc</vt:lpstr>
      <vt:lpstr>Twitter Search Ntwrk Top Items</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Admin</cp:lastModifiedBy>
  <dcterms:created xsi:type="dcterms:W3CDTF">2008-01-30T00:41:58Z</dcterms:created>
  <dcterms:modified xsi:type="dcterms:W3CDTF">2022-03-22T19:39:48Z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http://www.nodexlgraphgallery.org/NodeXLBasicSetup/Smrf.NodeXL.ExcelTemplate.vsto|aa51c0f3-62b4-4782-83a8-a15dcdd17698</vt:lpwstr>
  </property>
  <property fmtid="{D5CDD505-2E9C-101B-9397-08002B2CF9AE}" pid="4" name="_AssemblyName">
    <vt:lpwstr>4E3C66D5-58D4-491E-A7D4-64AF99AF6E8B</vt:lpwstr>
  </property>
  <property fmtid="{D5CDD505-2E9C-101B-9397-08002B2CF9AE}" pid="5" name="Solution ID">
    <vt:lpwstr>{15727DE6-F92D-4E46-ACB4-0E2C58B31A18}</vt:lpwstr>
  </property>
</Properties>
</file>